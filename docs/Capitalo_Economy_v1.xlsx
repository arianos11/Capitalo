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arameters" sheetId="2" state="visible" r:id="rId4"/>
    <sheet name="Shop_Categories" sheetId="3" state="visible" r:id="rId5"/>
    <sheet name="Progression" sheetId="4" state="visible" r:id="rId6"/>
    <sheet name="Prestige_Loop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<sst xmlns="http://schemas.openxmlformats.org/spreadsheetml/2006/main" count="283" uniqueCount="195">
  <si>
    <t xml:space="preserve">📊 CAPITALO Economy — Dashboard</t>
  </si>
  <si>
    <t xml:space="preserve">Kluczowe metryki ekonomii. Jeśli liczby tu wyglądają OK, gra będzie miała dobry pacing.</t>
  </si>
  <si>
    <t xml:space="preserve">🎯 KEY MILESTONES</t>
  </si>
  <si>
    <t xml:space="preserve">Milestone</t>
  </si>
  <si>
    <t xml:space="preserve">Hour reached</t>
  </si>
  <si>
    <t xml:space="preserve">Cumulative $</t>
  </si>
  <si>
    <t xml:space="preserve">Status</t>
  </si>
  <si>
    <t xml:space="preserve">Goal</t>
  </si>
  <si>
    <t xml:space="preserve">Tech unlock ($1k)</t>
  </si>
  <si>
    <t xml:space="preserve">✓ check Progression sheet</t>
  </si>
  <si>
    <t xml:space="preserve">h &lt;= 5</t>
  </si>
  <si>
    <t xml:space="preserve">Food unlock ($50k)</t>
  </si>
  <si>
    <t xml:space="preserve">h &lt;= 30</t>
  </si>
  <si>
    <t xml:space="preserve">Home unlock ($1M)</t>
  </si>
  <si>
    <t xml:space="preserve">h &lt;= 45</t>
  </si>
  <si>
    <t xml:space="preserve">Beauty unlock ($50M)</t>
  </si>
  <si>
    <t xml:space="preserve">h &lt;= 55</t>
  </si>
  <si>
    <t xml:space="preserve">First prestige ($1B)</t>
  </si>
  <si>
    <t xml:space="preserve">h ≈ 60-65</t>
  </si>
  <si>
    <t xml:space="preserve">📈 PROGRESSION SUMMARY</t>
  </si>
  <si>
    <t xml:space="preserve">Total earned @ 60h</t>
  </si>
  <si>
    <t xml:space="preserve">Powinno być blisko 1B dla prestige</t>
  </si>
  <si>
    <t xml:space="preserve">Income/sec @ 60h</t>
  </si>
  <si>
    <t xml:space="preserve">Wysokie = gracz już generuje sporo</t>
  </si>
  <si>
    <t xml:space="preserve">Hourly earnings @ 60h</t>
  </si>
  <si>
    <t xml:space="preserve">Per godzina gameplay</t>
  </si>
  <si>
    <t xml:space="preserve">Categories unlocked @ 60h</t>
  </si>
  <si>
    <t xml:space="preserve">Powinno być 4-6 z 10</t>
  </si>
  <si>
    <t xml:space="preserve">🔄 PRESTIGE METRICS</t>
  </si>
  <si>
    <t xml:space="preserve">IP gained from 1st prestige</t>
  </si>
  <si>
    <t xml:space="preserve">Powinno być 1-3 IP - słaba ale satysfakcjonująca pierwsza nagroda</t>
  </si>
  <si>
    <t xml:space="preserve">IP gained from 5th prestige</t>
  </si>
  <si>
    <t xml:space="preserve">Tu krzywa zaczyna naprawdę rosnąć</t>
  </si>
  <si>
    <t xml:space="preserve">Total IP po 10 prestiżach</t>
  </si>
  <si>
    <t xml:space="preserve">Sumarycznie do tego momentu</t>
  </si>
  <si>
    <t xml:space="preserve">Multiplier po 10 prestiżach</t>
  </si>
  <si>
    <t xml:space="preserve">% bonus do income permanent</t>
  </si>
  <si>
    <t xml:space="preserve">Total godzin do 10 prestiżu</t>
  </si>
  <si>
    <t xml:space="preserve">Suma godzin gameplay</t>
  </si>
  <si>
    <t xml:space="preserve">🔧 TUNING GUIDE</t>
  </si>
  <si>
    <t xml:space="preserve">💡 Jeśli pierwszy prestige &lt; 40h: zwiększ prestige_base_threshold (Parameters!B26) lub zmniejsz hourly_growth_rate (Parameters!B42)</t>
  </si>
  <si>
    <t xml:space="preserve">💡 Jeśli pierwszy prestige &gt; 80h: zmniejsz prestige_base_threshold lub zwiększ hourly_growth_rate</t>
  </si>
  <si>
    <t xml:space="preserve">💡 Jeśli kategorie odblokowują się za szybko: zwiększ unlock_cost w Shop_Categories (kolumna D)</t>
  </si>
  <si>
    <t xml:space="preserve">💡 Jeśli kategorie nie odblokowują się: zmniejsz unlock_cost</t>
  </si>
  <si>
    <t xml:space="preserve">💡 Jeśli upgrade'y są za drogie: zmniejsz shop_level_cost_growth do 1.13 (Parameters!B7)</t>
  </si>
  <si>
    <t xml:space="preserve">💡 Jeśli upgrade'y są za tanie: zwiększ shop_level_cost_growth do 1.17</t>
  </si>
  <si>
    <t xml:space="preserve">💡 Po 5 prestiżach gracz powinien czuć 'znaczący' boost — sprawdź multiplier @ 5 w Prestige_Loop</t>
  </si>
  <si>
    <t xml:space="preserve">CAPITALO — Economy Parameters</t>
  </si>
  <si>
    <t xml:space="preserve">Edytuj wartości w żółtych komórkach. Pozostałe arkusze przeliczają się automatycznie.</t>
  </si>
  <si>
    <t xml:space="preserve">CORE ECONOMY</t>
  </si>
  <si>
    <t xml:space="preserve">Parameter</t>
  </si>
  <si>
    <t xml:space="preserve">Value</t>
  </si>
  <si>
    <t xml:space="preserve">Unit</t>
  </si>
  <si>
    <t xml:space="preserve">Notes</t>
  </si>
  <si>
    <t xml:space="preserve">starting_money</t>
  </si>
  <si>
    <t xml:space="preserve">$</t>
  </si>
  <si>
    <t xml:space="preserve">Kasa na start gry</t>
  </si>
  <si>
    <t xml:space="preserve">shop_level_cost_growth</t>
  </si>
  <si>
    <t xml:space="preserve">x</t>
  </si>
  <si>
    <t xml:space="preserve">Koszt N+1 levelu = N * X. AdVenture Capitalist używa 1.15</t>
  </si>
  <si>
    <t xml:space="preserve">shop_income_growth</t>
  </si>
  <si>
    <t xml:space="preserve">Income N+1 levelu = N * X</t>
  </si>
  <si>
    <t xml:space="preserve">category_base_multiplier</t>
  </si>
  <si>
    <t xml:space="preserve">Każda kolejna kategoria sklepów ma X razy większy base income</t>
  </si>
  <si>
    <t xml:space="preserve">manager_base_multiplier</t>
  </si>
  <si>
    <t xml:space="preserve">Manager od razu daje x2 income</t>
  </si>
  <si>
    <t xml:space="preserve">manager_level_bonus</t>
  </si>
  <si>
    <t xml:space="preserve">%</t>
  </si>
  <si>
    <t xml:space="preserve">+X% za każdy level managera (1-10)</t>
  </si>
  <si>
    <t xml:space="preserve">brand_rep_neutral</t>
  </si>
  <si>
    <t xml:space="preserve">stars</t>
  </si>
  <si>
    <t xml:space="preserve">Neutralna reputacja</t>
  </si>
  <si>
    <t xml:space="preserve">rep_per_star_bonus</t>
  </si>
  <si>
    <t xml:space="preserve">+X% income per gwiazdka powyżej neutral</t>
  </si>
  <si>
    <t xml:space="preserve">MARKETING CAMPAIGNS</t>
  </si>
  <si>
    <t xml:space="preserve">Campaign</t>
  </si>
  <si>
    <t xml:space="preserve">Cost ($)</t>
  </si>
  <si>
    <t xml:space="preserve">Cooldown (s)</t>
  </si>
  <si>
    <t xml:space="preserve">Success %</t>
  </si>
  <si>
    <t xml:space="preserve">Viral %</t>
  </si>
  <si>
    <t xml:space="preserve">Customers Min</t>
  </si>
  <si>
    <t xml:space="preserve">Customers Max</t>
  </si>
  <si>
    <t xml:space="preserve">Unlocks at</t>
  </si>
  <si>
    <t xml:space="preserve">Flyers</t>
  </si>
  <si>
    <t xml:space="preserve">Start</t>
  </si>
  <si>
    <t xml:space="preserve">Facebook Ads</t>
  </si>
  <si>
    <t xml:space="preserve">$1k earned</t>
  </si>
  <si>
    <t xml:space="preserve">Google Ads</t>
  </si>
  <si>
    <t xml:space="preserve">Tech: Targeting</t>
  </si>
  <si>
    <t xml:space="preserve">Influencer</t>
  </si>
  <si>
    <t xml:space="preserve">$50k earned</t>
  </si>
  <si>
    <t xml:space="preserve">TV Spot</t>
  </si>
  <si>
    <t xml:space="preserve">$1M earned</t>
  </si>
  <si>
    <t xml:space="preserve">TikTok Viral</t>
  </si>
  <si>
    <t xml:space="preserve">Tech: Viral Studio II</t>
  </si>
  <si>
    <t xml:space="preserve">Super Bowl Ad</t>
  </si>
  <si>
    <t xml:space="preserve">Endgame</t>
  </si>
  <si>
    <t xml:space="preserve">PRESTIGE &amp; META</t>
  </si>
  <si>
    <t xml:space="preserve">prestige_base_threshold</t>
  </si>
  <si>
    <t xml:space="preserve">Total earned dla 1 IP</t>
  </si>
  <si>
    <t xml:space="preserve">prestige_exponent</t>
  </si>
  <si>
    <t xml:space="preserve">exp</t>
  </si>
  <si>
    <t xml:space="preserve">Wykładnik krzywej IP. 0.5 = sqrt</t>
  </si>
  <si>
    <t xml:space="preserve">prestige_multiplier_per_ip</t>
  </si>
  <si>
    <t xml:space="preserve">+X% income permanent per IP</t>
  </si>
  <si>
    <t xml:space="preserve">offline_cap_hours</t>
  </si>
  <si>
    <t xml:space="preserve">h</t>
  </si>
  <si>
    <t xml:space="preserve">Max godzin offline earnings</t>
  </si>
  <si>
    <t xml:space="preserve">offline_efficiency</t>
  </si>
  <si>
    <t xml:space="preserve">X% online rate gdy offline</t>
  </si>
  <si>
    <t xml:space="preserve">offline_ad_boost</t>
  </si>
  <si>
    <t xml:space="preserve">Watch ad → x2 offline earnings</t>
  </si>
  <si>
    <t xml:space="preserve">PLAYER BEHAVIOR ASSUMPTIONS</t>
  </si>
  <si>
    <t xml:space="preserve">clicks_per_minute_active</t>
  </si>
  <si>
    <t xml:space="preserve">clicks/min</t>
  </si>
  <si>
    <t xml:space="preserve">Aktywne klikanie kampanii na minutę</t>
  </si>
  <si>
    <t xml:space="preserve">active_session_minutes</t>
  </si>
  <si>
    <t xml:space="preserve">min</t>
  </si>
  <si>
    <t xml:space="preserve">Średnia długość aktywnej sesji</t>
  </si>
  <si>
    <t xml:space="preserve">sessions_per_day</t>
  </si>
  <si>
    <t xml:space="preserve">/day</t>
  </si>
  <si>
    <t xml:space="preserve">Ile razy gracz odpala grę dziennie</t>
  </si>
  <si>
    <t xml:space="preserve">offline_hours_avg</t>
  </si>
  <si>
    <t xml:space="preserve">Średnio ile godzin między sesjami</t>
  </si>
  <si>
    <t xml:space="preserve">upgrade_efficiency</t>
  </si>
  <si>
    <t xml:space="preserve">Jak optymalnie gracz wydaje kasę (1.0 = perfect)</t>
  </si>
  <si>
    <t xml:space="preserve">avg_campaign_revenue_multiplier</t>
  </si>
  <si>
    <t xml:space="preserve">Średnia mnożnika przychodu z kampanii (success/viral/fail)</t>
  </si>
  <si>
    <t xml:space="preserve">hourly_growth_rate</t>
  </si>
  <si>
    <t xml:space="preserve">Wzrost income/sec na godzinę aktywnej gry. WAŻNE - reguluje tempo</t>
  </si>
  <si>
    <t xml:space="preserve">Shop Categories — Base Income Skalowanie</t>
  </si>
  <si>
    <t xml:space="preserve">Każda kategoria ma base income = poprzednia * category_base_multiplier (z Parameters).</t>
  </si>
  <si>
    <t xml:space="preserve">Order</t>
  </si>
  <si>
    <t xml:space="preserve">Category</t>
  </si>
  <si>
    <t xml:space="preserve">Base Income ($/sec)</t>
  </si>
  <si>
    <t xml:space="preserve">Unlock Cost ($)</t>
  </si>
  <si>
    <t xml:space="preserve">Phase</t>
  </si>
  <si>
    <t xml:space="preserve">Fashion</t>
  </si>
  <si>
    <t xml:space="preserve">Phase 1 (MVP)</t>
  </si>
  <si>
    <t xml:space="preserve">Kategoria startowa</t>
  </si>
  <si>
    <t xml:space="preserve">Tech</t>
  </si>
  <si>
    <t xml:space="preserve">Elektronika, gadżety</t>
  </si>
  <si>
    <t xml:space="preserve">Food</t>
  </si>
  <si>
    <t xml:space="preserve">Restauracje, fast food</t>
  </si>
  <si>
    <t xml:space="preserve">Home</t>
  </si>
  <si>
    <t xml:space="preserve">Phase 2</t>
  </si>
  <si>
    <t xml:space="preserve">Meble, dekoracje</t>
  </si>
  <si>
    <t xml:space="preserve">Beauty</t>
  </si>
  <si>
    <t xml:space="preserve">Kosmetyki, perfumy</t>
  </si>
  <si>
    <t xml:space="preserve">Books &amp; Media</t>
  </si>
  <si>
    <t xml:space="preserve">Książki, vinyle</t>
  </si>
  <si>
    <t xml:space="preserve">Toys</t>
  </si>
  <si>
    <t xml:space="preserve">Zabawki, kolekcjonerskie</t>
  </si>
  <si>
    <t xml:space="preserve">Sports</t>
  </si>
  <si>
    <t xml:space="preserve">Sprzęt sportowy</t>
  </si>
  <si>
    <t xml:space="preserve">Luxury</t>
  </si>
  <si>
    <t xml:space="preserve">Phase 3</t>
  </si>
  <si>
    <t xml:space="preserve">Jubiler, designer goods</t>
  </si>
  <si>
    <t xml:space="preserve">Marketplace</t>
  </si>
  <si>
    <t xml:space="preserve">Endgame: meta-poziom</t>
  </si>
  <si>
    <t xml:space="preserve">LEVEL CURVE — Fashion (Category 1)</t>
  </si>
  <si>
    <t xml:space="preserve">Pokazuje jak rośnie koszt i income z każdym levelem (Fashion shop, base = 1.0 $/sec)</t>
  </si>
  <si>
    <t xml:space="preserve">Level</t>
  </si>
  <si>
    <t xml:space="preserve">Level Cost ($)</t>
  </si>
  <si>
    <t xml:space="preserve">Income/sec ($)</t>
  </si>
  <si>
    <t xml:space="preserve">Income/sec with Manager</t>
  </si>
  <si>
    <t xml:space="preserve">Cost/Income Ratio (s)</t>
  </si>
  <si>
    <t xml:space="preserve">Cumulative Cost</t>
  </si>
  <si>
    <t xml:space="preserve">Capitalo — Progression Curve (60h gameplay)</t>
  </si>
  <si>
    <t xml:space="preserve">Symulacja przychodu i progressu godzina po godzinie. Edytuj 'hourly_growth_rate' w Parameters aby strojaść tempo.</t>
  </si>
  <si>
    <t xml:space="preserve">Hour</t>
  </si>
  <si>
    <t xml:space="preserve">Active Min</t>
  </si>
  <si>
    <t xml:space="preserve">Offline Min</t>
  </si>
  <si>
    <t xml:space="preserve">Income/sec (avg)</t>
  </si>
  <si>
    <t xml:space="preserve">Hourly Earnings ($)</t>
  </si>
  <si>
    <t xml:space="preserve">Cumulative Total ($)</t>
  </si>
  <si>
    <t xml:space="preserve">Categories Unlocked</t>
  </si>
  <si>
    <t xml:space="preserve">Onboarding</t>
  </si>
  <si>
    <t xml:space="preserve">Early Game</t>
  </si>
  <si>
    <t xml:space="preserve">Mid Game</t>
  </si>
  <si>
    <t xml:space="preserve">Late Game</t>
  </si>
  <si>
    <t xml:space="preserve">Pre-Prestige</t>
  </si>
  <si>
    <t xml:space="preserve">Prestige Loop — Innovation Points &amp; Multipliers</t>
  </si>
  <si>
    <t xml:space="preserve">Pokazuje jak skaluje się prestige cycle. Zakładamy że każdy kolejny prestige osiągany przy ~3x większej kasie.</t>
  </si>
  <si>
    <t xml:space="preserve">Prestige #</t>
  </si>
  <si>
    <t xml:space="preserve">Total Earned ($)</t>
  </si>
  <si>
    <t xml:space="preserve">IP Gained This Prestige</t>
  </si>
  <si>
    <t xml:space="preserve">IP Cumulative</t>
  </si>
  <si>
    <t xml:space="preserve">Multiplier Active (%)</t>
  </si>
  <si>
    <t xml:space="preserve">Hours to Next Prestige (est)</t>
  </si>
  <si>
    <t xml:space="preserve">SUMMARY METRICS</t>
  </si>
  <si>
    <t xml:space="preserve">Total IP po 20 prestiżach</t>
  </si>
  <si>
    <t xml:space="preserve">Total multiplier po 20 prestiżach (%)</t>
  </si>
  <si>
    <t xml:space="preserve">Total godzin do 20 prestiżu</t>
  </si>
  <si>
    <t xml:space="preserve">Średnio godzin na prestiż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</si>
</sst>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\$#,##0"/>
    <numFmt numFmtId="167" formatCode="0.0\%"/>
    <numFmt numFmtId="168" formatCode="0.0"/>
    <numFmt numFmtId="169" formatCode="#,##0"/>
    <numFmt numFmtId="170" formatCode="#,##0.00"/>
    <numFmt numFmtId="171" formatCode="General"/>
    <numFmt numFmtId="172" formatCode="#,##0.0\%"/>
    <numFmt numFmtId="173" formatCode="#,##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BE4B48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8B855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Earnings Curve (60h)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Progression!F4</c:f>
              <c:strCache>
                <c:ptCount val="1"/>
                <c:pt idx="0">
                  <c:v>Cumulative Total ($)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Progression!$A$5:$A$64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Progression!$F$5:$F$64</c:f>
              <c:numCache>
                <c:formatCode>#,##0</c:formatCode>
                <c:ptCount val="60"/>
                <c:pt idx="0">
                  <c:v>356.25</c:v>
                </c:pt>
                <c:pt idx="1">
                  <c:v>739.0625</c:v>
                </c:pt>
                <c:pt idx="2">
                  <c:v>1217.578125</c:v>
                </c:pt>
                <c:pt idx="3">
                  <c:v>1815.72265625</c:v>
                </c:pt>
                <c:pt idx="4">
                  <c:v>2563.4033203125</c:v>
                </c:pt>
                <c:pt idx="5">
                  <c:v>3498.00415039063</c:v>
                </c:pt>
                <c:pt idx="6">
                  <c:v>4666.25518798828</c:v>
                </c:pt>
                <c:pt idx="7">
                  <c:v>6126.56898498535</c:v>
                </c:pt>
                <c:pt idx="8">
                  <c:v>7951.96123123169</c:v>
                </c:pt>
                <c:pt idx="9">
                  <c:v>10233.7015390396</c:v>
                </c:pt>
                <c:pt idx="10">
                  <c:v>13085.8769237995</c:v>
                </c:pt>
                <c:pt idx="11">
                  <c:v>16651.0961547494</c:v>
                </c:pt>
                <c:pt idx="12">
                  <c:v>21107.6201934367</c:v>
                </c:pt>
                <c:pt idx="13">
                  <c:v>26678.2752417959</c:v>
                </c:pt>
                <c:pt idx="14">
                  <c:v>33641.5940522449</c:v>
                </c:pt>
                <c:pt idx="15">
                  <c:v>42345.7425653061</c:v>
                </c:pt>
                <c:pt idx="16">
                  <c:v>53225.9282066327</c:v>
                </c:pt>
                <c:pt idx="17">
                  <c:v>66826.1602582908</c:v>
                </c:pt>
                <c:pt idx="18">
                  <c:v>83826.4503228635</c:v>
                </c:pt>
                <c:pt idx="19">
                  <c:v>105076.812903579</c:v>
                </c:pt>
                <c:pt idx="20">
                  <c:v>131639.766129474</c:v>
                </c:pt>
                <c:pt idx="21">
                  <c:v>164843.457661843</c:v>
                </c:pt>
                <c:pt idx="22">
                  <c:v>206348.072077304</c:v>
                </c:pt>
                <c:pt idx="23">
                  <c:v>258228.840096629</c:v>
                </c:pt>
                <c:pt idx="24">
                  <c:v>323079.800120787</c:v>
                </c:pt>
                <c:pt idx="25">
                  <c:v>404143.500150984</c:v>
                </c:pt>
                <c:pt idx="26">
                  <c:v>505473.125188729</c:v>
                </c:pt>
                <c:pt idx="27">
                  <c:v>632135.156485912</c:v>
                </c:pt>
                <c:pt idx="28">
                  <c:v>790462.69560739</c:v>
                </c:pt>
                <c:pt idx="29">
                  <c:v>988372.119509237</c:v>
                </c:pt>
                <c:pt idx="30">
                  <c:v>1235758.89938655</c:v>
                </c:pt>
                <c:pt idx="31">
                  <c:v>1544992.37423318</c:v>
                </c:pt>
                <c:pt idx="32">
                  <c:v>1931534.21779148</c:v>
                </c:pt>
                <c:pt idx="33">
                  <c:v>2414711.52223935</c:v>
                </c:pt>
                <c:pt idx="34">
                  <c:v>3018683.15279919</c:v>
                </c:pt>
                <c:pt idx="35">
                  <c:v>3773647.69099898</c:v>
                </c:pt>
                <c:pt idx="36">
                  <c:v>4717353.36374873</c:v>
                </c:pt>
                <c:pt idx="37">
                  <c:v>5896985.45468591</c:v>
                </c:pt>
                <c:pt idx="38">
                  <c:v>7371525.56835739</c:v>
                </c:pt>
                <c:pt idx="39">
                  <c:v>9214700.71044673</c:v>
                </c:pt>
                <c:pt idx="40">
                  <c:v>11518669.6380584</c:v>
                </c:pt>
                <c:pt idx="41">
                  <c:v>14398630.797573</c:v>
                </c:pt>
                <c:pt idx="42">
                  <c:v>17998582.2469663</c:v>
                </c:pt>
                <c:pt idx="43">
                  <c:v>22498521.5587078</c:v>
                </c:pt>
                <c:pt idx="44">
                  <c:v>28123445.6983848</c:v>
                </c:pt>
                <c:pt idx="45">
                  <c:v>35154600.872981</c:v>
                </c:pt>
                <c:pt idx="46">
                  <c:v>43943544.8412263</c:v>
                </c:pt>
                <c:pt idx="47">
                  <c:v>54929724.8015328</c:v>
                </c:pt>
                <c:pt idx="48">
                  <c:v>68662449.751916</c:v>
                </c:pt>
                <c:pt idx="49">
                  <c:v>85828355.9398951</c:v>
                </c:pt>
                <c:pt idx="50">
                  <c:v>107285738.674869</c:v>
                </c:pt>
                <c:pt idx="51">
                  <c:v>134107467.093586</c:v>
                </c:pt>
                <c:pt idx="52">
                  <c:v>167634627.616983</c:v>
                </c:pt>
                <c:pt idx="53">
                  <c:v>209543578.271228</c:v>
                </c:pt>
                <c:pt idx="54">
                  <c:v>261929766.589035</c:v>
                </c:pt>
                <c:pt idx="55">
                  <c:v>327412501.986294</c:v>
                </c:pt>
                <c:pt idx="56">
                  <c:v>409265921.232868</c:v>
                </c:pt>
                <c:pt idx="57">
                  <c:v>511582695.291084</c:v>
                </c:pt>
                <c:pt idx="58">
                  <c:v>639478662.863855</c:v>
                </c:pt>
                <c:pt idx="59">
                  <c:v>799348622.329819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994221"/>
        <c:axId val="1700469"/>
      </c:lineChart>
      <c:catAx>
        <c:axId val="419942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0469"/>
        <c:crosses val="autoZero"/>
        <c:auto val="1"/>
        <c:lblAlgn val="ctr"/>
        <c:lblOffset val="100"/>
        <c:noMultiLvlLbl val="0"/>
      </c:catAx>
      <c:valAx>
        <c:axId val="1700469"/>
        <c:scaling>
          <c:logBase val="10"/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Earnings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942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Earnings (60h)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Progression!F4</c:f>
              <c:strCache>
                <c:ptCount val="1"/>
                <c:pt idx="0">
                  <c:v>Cumulative Total ($)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Progression!$A$5:$A$64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Progression!$F$5:$F$64</c:f>
              <c:numCache>
                <c:formatCode>#,##0</c:formatCode>
                <c:ptCount val="60"/>
                <c:pt idx="0">
                  <c:v>356.25</c:v>
                </c:pt>
                <c:pt idx="1">
                  <c:v>739.0625</c:v>
                </c:pt>
                <c:pt idx="2">
                  <c:v>1217.578125</c:v>
                </c:pt>
                <c:pt idx="3">
                  <c:v>1815.72265625</c:v>
                </c:pt>
                <c:pt idx="4">
                  <c:v>2563.4033203125</c:v>
                </c:pt>
                <c:pt idx="5">
                  <c:v>3498.00415039063</c:v>
                </c:pt>
                <c:pt idx="6">
                  <c:v>4666.25518798828</c:v>
                </c:pt>
                <c:pt idx="7">
                  <c:v>6126.56898498535</c:v>
                </c:pt>
                <c:pt idx="8">
                  <c:v>7951.96123123169</c:v>
                </c:pt>
                <c:pt idx="9">
                  <c:v>10233.7015390396</c:v>
                </c:pt>
                <c:pt idx="10">
                  <c:v>13085.8769237995</c:v>
                </c:pt>
                <c:pt idx="11">
                  <c:v>16651.0961547494</c:v>
                </c:pt>
                <c:pt idx="12">
                  <c:v>21107.6201934367</c:v>
                </c:pt>
                <c:pt idx="13">
                  <c:v>26678.2752417959</c:v>
                </c:pt>
                <c:pt idx="14">
                  <c:v>33641.5940522449</c:v>
                </c:pt>
                <c:pt idx="15">
                  <c:v>42345.7425653061</c:v>
                </c:pt>
                <c:pt idx="16">
                  <c:v>53225.9282066327</c:v>
                </c:pt>
                <c:pt idx="17">
                  <c:v>66826.1602582908</c:v>
                </c:pt>
                <c:pt idx="18">
                  <c:v>83826.4503228635</c:v>
                </c:pt>
                <c:pt idx="19">
                  <c:v>105076.812903579</c:v>
                </c:pt>
                <c:pt idx="20">
                  <c:v>131639.766129474</c:v>
                </c:pt>
                <c:pt idx="21">
                  <c:v>164843.457661843</c:v>
                </c:pt>
                <c:pt idx="22">
                  <c:v>206348.072077304</c:v>
                </c:pt>
                <c:pt idx="23">
                  <c:v>258228.840096629</c:v>
                </c:pt>
                <c:pt idx="24">
                  <c:v>323079.800120787</c:v>
                </c:pt>
                <c:pt idx="25">
                  <c:v>404143.500150984</c:v>
                </c:pt>
                <c:pt idx="26">
                  <c:v>505473.125188729</c:v>
                </c:pt>
                <c:pt idx="27">
                  <c:v>632135.156485912</c:v>
                </c:pt>
                <c:pt idx="28">
                  <c:v>790462.69560739</c:v>
                </c:pt>
                <c:pt idx="29">
                  <c:v>988372.119509237</c:v>
                </c:pt>
                <c:pt idx="30">
                  <c:v>1235758.89938655</c:v>
                </c:pt>
                <c:pt idx="31">
                  <c:v>1544992.37423318</c:v>
                </c:pt>
                <c:pt idx="32">
                  <c:v>1931534.21779148</c:v>
                </c:pt>
                <c:pt idx="33">
                  <c:v>2414711.52223935</c:v>
                </c:pt>
                <c:pt idx="34">
                  <c:v>3018683.15279919</c:v>
                </c:pt>
                <c:pt idx="35">
                  <c:v>3773647.69099898</c:v>
                </c:pt>
                <c:pt idx="36">
                  <c:v>4717353.36374873</c:v>
                </c:pt>
                <c:pt idx="37">
                  <c:v>5896985.45468591</c:v>
                </c:pt>
                <c:pt idx="38">
                  <c:v>7371525.56835739</c:v>
                </c:pt>
                <c:pt idx="39">
                  <c:v>9214700.71044673</c:v>
                </c:pt>
                <c:pt idx="40">
                  <c:v>11518669.6380584</c:v>
                </c:pt>
                <c:pt idx="41">
                  <c:v>14398630.797573</c:v>
                </c:pt>
                <c:pt idx="42">
                  <c:v>17998582.2469663</c:v>
                </c:pt>
                <c:pt idx="43">
                  <c:v>22498521.5587078</c:v>
                </c:pt>
                <c:pt idx="44">
                  <c:v>28123445.6983848</c:v>
                </c:pt>
                <c:pt idx="45">
                  <c:v>35154600.872981</c:v>
                </c:pt>
                <c:pt idx="46">
                  <c:v>43943544.8412263</c:v>
                </c:pt>
                <c:pt idx="47">
                  <c:v>54929724.8015328</c:v>
                </c:pt>
                <c:pt idx="48">
                  <c:v>68662449.751916</c:v>
                </c:pt>
                <c:pt idx="49">
                  <c:v>85828355.9398951</c:v>
                </c:pt>
                <c:pt idx="50">
                  <c:v>107285738.674869</c:v>
                </c:pt>
                <c:pt idx="51">
                  <c:v>134107467.093586</c:v>
                </c:pt>
                <c:pt idx="52">
                  <c:v>167634627.616983</c:v>
                </c:pt>
                <c:pt idx="53">
                  <c:v>209543578.271228</c:v>
                </c:pt>
                <c:pt idx="54">
                  <c:v>261929766.589035</c:v>
                </c:pt>
                <c:pt idx="55">
                  <c:v>327412501.986294</c:v>
                </c:pt>
                <c:pt idx="56">
                  <c:v>409265921.232868</c:v>
                </c:pt>
                <c:pt idx="57">
                  <c:v>511582695.291084</c:v>
                </c:pt>
                <c:pt idx="58">
                  <c:v>639478662.863855</c:v>
                </c:pt>
                <c:pt idx="59">
                  <c:v>799348622.329819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965705"/>
        <c:axId val="11998252"/>
      </c:lineChart>
      <c:catAx>
        <c:axId val="19657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998252"/>
        <c:crosses val="autoZero"/>
        <c:auto val="1"/>
        <c:lblAlgn val="ctr"/>
        <c:lblOffset val="100"/>
        <c:noMultiLvlLbl val="0"/>
      </c:catAx>
      <c:valAx>
        <c:axId val="1199825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Earnings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657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per Second (60h)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Progression!D4</c:f>
              <c:strCache>
                <c:ptCount val="1"/>
                <c:pt idx="0">
                  <c:v>Income/sec (avg)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Progression!$A$5:$A$64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Progression!$D$5:$D$64</c:f>
              <c:numCache>
                <c:formatCode>#,##0.00</c:formatCode>
                <c:ptCount val="60"/>
                <c:pt idx="0">
                  <c:v>0.4375</c:v>
                </c:pt>
                <c:pt idx="1">
                  <c:v>0.546875</c:v>
                </c:pt>
                <c:pt idx="2">
                  <c:v>0.68359375</c:v>
                </c:pt>
                <c:pt idx="3">
                  <c:v>0.8544921875</c:v>
                </c:pt>
                <c:pt idx="4">
                  <c:v>1.068115234375</c:v>
                </c:pt>
                <c:pt idx="5">
                  <c:v>1.33514404296875</c:v>
                </c:pt>
                <c:pt idx="6">
                  <c:v>1.66893005371094</c:v>
                </c:pt>
                <c:pt idx="7">
                  <c:v>2.08616256713867</c:v>
                </c:pt>
                <c:pt idx="8">
                  <c:v>2.60770320892334</c:v>
                </c:pt>
                <c:pt idx="9">
                  <c:v>3.25962901115418</c:v>
                </c:pt>
                <c:pt idx="10">
                  <c:v>4.07453626394272</c:v>
                </c:pt>
                <c:pt idx="11">
                  <c:v>5.0931703299284</c:v>
                </c:pt>
                <c:pt idx="12">
                  <c:v>6.3664629124105</c:v>
                </c:pt>
                <c:pt idx="13">
                  <c:v>7.95807864051312</c:v>
                </c:pt>
                <c:pt idx="14">
                  <c:v>9.9475983006414</c:v>
                </c:pt>
                <c:pt idx="15">
                  <c:v>12.4344978758018</c:v>
                </c:pt>
                <c:pt idx="16">
                  <c:v>15.5431223447522</c:v>
                </c:pt>
                <c:pt idx="17">
                  <c:v>19.4289029309402</c:v>
                </c:pt>
                <c:pt idx="18">
                  <c:v>24.2861286636753</c:v>
                </c:pt>
                <c:pt idx="19">
                  <c:v>30.3576608295941</c:v>
                </c:pt>
                <c:pt idx="20">
                  <c:v>37.9470760369927</c:v>
                </c:pt>
                <c:pt idx="21">
                  <c:v>47.4338450462408</c:v>
                </c:pt>
                <c:pt idx="22">
                  <c:v>59.292306307801</c:v>
                </c:pt>
                <c:pt idx="23">
                  <c:v>74.1153828847513</c:v>
                </c:pt>
                <c:pt idx="24">
                  <c:v>92.6442286059391</c:v>
                </c:pt>
                <c:pt idx="25">
                  <c:v>115.805285757424</c:v>
                </c:pt>
                <c:pt idx="26">
                  <c:v>144.75660719678</c:v>
                </c:pt>
                <c:pt idx="27">
                  <c:v>180.945758995975</c:v>
                </c:pt>
                <c:pt idx="28">
                  <c:v>226.182198744968</c:v>
                </c:pt>
                <c:pt idx="29">
                  <c:v>282.727748431211</c:v>
                </c:pt>
                <c:pt idx="30">
                  <c:v>353.409685539013</c:v>
                </c:pt>
                <c:pt idx="31">
                  <c:v>441.762106923767</c:v>
                </c:pt>
                <c:pt idx="32">
                  <c:v>552.202633654708</c:v>
                </c:pt>
                <c:pt idx="33">
                  <c:v>690.253292068385</c:v>
                </c:pt>
                <c:pt idx="34">
                  <c:v>862.816615085482</c:v>
                </c:pt>
                <c:pt idx="35">
                  <c:v>1078.52076885685</c:v>
                </c:pt>
                <c:pt idx="36">
                  <c:v>1348.15096107107</c:v>
                </c:pt>
                <c:pt idx="37">
                  <c:v>1685.18870133883</c:v>
                </c:pt>
                <c:pt idx="38">
                  <c:v>2106.48587667354</c:v>
                </c:pt>
                <c:pt idx="39">
                  <c:v>2633.10734584192</c:v>
                </c:pt>
                <c:pt idx="40">
                  <c:v>3291.38418230241</c:v>
                </c:pt>
                <c:pt idx="41">
                  <c:v>4114.23022787801</c:v>
                </c:pt>
                <c:pt idx="42">
                  <c:v>5142.78778484751</c:v>
                </c:pt>
                <c:pt idx="43">
                  <c:v>6428.48473105939</c:v>
                </c:pt>
                <c:pt idx="44">
                  <c:v>8035.60591382423</c:v>
                </c:pt>
                <c:pt idx="45">
                  <c:v>10044.5073922803</c:v>
                </c:pt>
                <c:pt idx="46">
                  <c:v>12555.6342403504</c:v>
                </c:pt>
                <c:pt idx="47">
                  <c:v>15694.542800438</c:v>
                </c:pt>
                <c:pt idx="48">
                  <c:v>19618.1785005474</c:v>
                </c:pt>
                <c:pt idx="49">
                  <c:v>24522.7231256843</c:v>
                </c:pt>
                <c:pt idx="50">
                  <c:v>30653.4039071054</c:v>
                </c:pt>
                <c:pt idx="51">
                  <c:v>38316.7548838817</c:v>
                </c:pt>
                <c:pt idx="52">
                  <c:v>47895.9436048521</c:v>
                </c:pt>
                <c:pt idx="53">
                  <c:v>59869.9295060652</c:v>
                </c:pt>
                <c:pt idx="54">
                  <c:v>74837.4118825815</c:v>
                </c:pt>
                <c:pt idx="55">
                  <c:v>93546.7648532269</c:v>
                </c:pt>
                <c:pt idx="56">
                  <c:v>116933.456066534</c:v>
                </c:pt>
                <c:pt idx="57">
                  <c:v>146166.820083167</c:v>
                </c:pt>
                <c:pt idx="58">
                  <c:v>182708.525103959</c:v>
                </c:pt>
                <c:pt idx="59">
                  <c:v>228385.656379948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898736"/>
        <c:axId val="60379859"/>
      </c:lineChart>
      <c:catAx>
        <c:axId val="328987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79859"/>
        <c:crosses val="autoZero"/>
        <c:auto val="1"/>
        <c:lblAlgn val="ctr"/>
        <c:lblOffset val="100"/>
        <c:noMultiLvlLbl val="0"/>
      </c:catAx>
      <c:valAx>
        <c:axId val="6037985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Income/sec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987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IP Gained per Prestige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Prestige_Loop!C4</c:f>
              <c:strCache>
                <c:ptCount val="1"/>
                <c:pt idx="0">
                  <c:v>IP Gained This Prestige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Prestige_Loop!$A$5:$A$24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Prestige_Loop!$C$5:$C$24</c:f>
              <c:numCache>
                <c:formatCode>#,##0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15</c:v>
                </c:pt>
                <c:pt idx="6">
                  <c:v>27</c:v>
                </c:pt>
                <c:pt idx="7">
                  <c:v>46</c:v>
                </c:pt>
                <c:pt idx="8">
                  <c:v>81</c:v>
                </c:pt>
                <c:pt idx="9">
                  <c:v>140</c:v>
                </c:pt>
                <c:pt idx="10">
                  <c:v>243</c:v>
                </c:pt>
                <c:pt idx="11">
                  <c:v>420</c:v>
                </c:pt>
                <c:pt idx="12">
                  <c:v>729</c:v>
                </c:pt>
                <c:pt idx="13">
                  <c:v>1262</c:v>
                </c:pt>
                <c:pt idx="14">
                  <c:v>2187</c:v>
                </c:pt>
                <c:pt idx="15">
                  <c:v>3787</c:v>
                </c:pt>
                <c:pt idx="16">
                  <c:v>6561</c:v>
                </c:pt>
                <c:pt idx="17">
                  <c:v>11363</c:v>
                </c:pt>
                <c:pt idx="18">
                  <c:v>19683</c:v>
                </c:pt>
                <c:pt idx="19">
                  <c:v>34091</c:v>
                </c:pt>
              </c:numCache>
            </c:numRef>
          </c:val>
        </c:ser>
        <c:gapWidth val="150"/>
        <c:overlap val="0"/>
        <c:axId val="54442916"/>
        <c:axId val="55787163"/>
      </c:barChart>
      <c:catAx>
        <c:axId val="544429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Prestige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787163"/>
        <c:crosses val="autoZero"/>
        <c:auto val="1"/>
        <c:lblAlgn val="ctr"/>
        <c:lblOffset val="100"/>
        <c:noMultiLvlLbl val="0"/>
      </c:catAx>
      <c:valAx>
        <c:axId val="557871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Innovation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429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Multiplier % over Prestiges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Prestige_Loop!E4</c:f>
              <c:strCache>
                <c:ptCount val="1"/>
                <c:pt idx="0">
                  <c:v>Multiplier Active (%)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Prestige_Loop!$A$5:$A$24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Prestige_Loop!$E$5:$E$24</c:f>
              <c:numCache>
                <c:formatCode>#,##0.0\%</c:formatCode>
                <c:ptCount val="20"/>
                <c:pt idx="0">
                  <c:v>2</c:v>
                </c:pt>
                <c:pt idx="1">
                  <c:v>4</c:v>
                </c:pt>
                <c:pt idx="2">
                  <c:v>10</c:v>
                </c:pt>
                <c:pt idx="3">
                  <c:v>20</c:v>
                </c:pt>
                <c:pt idx="4">
                  <c:v>38</c:v>
                </c:pt>
                <c:pt idx="5">
                  <c:v>68</c:v>
                </c:pt>
                <c:pt idx="6">
                  <c:v>122</c:v>
                </c:pt>
                <c:pt idx="7">
                  <c:v>214</c:v>
                </c:pt>
                <c:pt idx="8">
                  <c:v>376</c:v>
                </c:pt>
                <c:pt idx="9">
                  <c:v>656</c:v>
                </c:pt>
                <c:pt idx="10">
                  <c:v>1142</c:v>
                </c:pt>
                <c:pt idx="11">
                  <c:v>1982</c:v>
                </c:pt>
                <c:pt idx="12">
                  <c:v>3440</c:v>
                </c:pt>
                <c:pt idx="13">
                  <c:v>5964</c:v>
                </c:pt>
                <c:pt idx="14">
                  <c:v>10338</c:v>
                </c:pt>
                <c:pt idx="15">
                  <c:v>17912</c:v>
                </c:pt>
                <c:pt idx="16">
                  <c:v>31034</c:v>
                </c:pt>
                <c:pt idx="17">
                  <c:v>53760</c:v>
                </c:pt>
                <c:pt idx="18">
                  <c:v>93126</c:v>
                </c:pt>
                <c:pt idx="19">
                  <c:v>161308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3456523"/>
        <c:axId val="50652444"/>
      </c:lineChart>
      <c:catAx>
        <c:axId val="834565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Prestige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52444"/>
        <c:crosses val="autoZero"/>
        <c:auto val="1"/>
        <c:lblAlgn val="ctr"/>
        <c:lblOffset val="100"/>
        <c:noMultiLvlLbl val="0"/>
      </c:catAx>
      <c:valAx>
        <c:axId val="506524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Multiplier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4565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101160</xdr:rowOff>
    </xdr:from>
    <xdr:to>
      <xdr:col>15</xdr:col>
      <xdr:colOff>255960</xdr:colOff>
      <xdr:row>19</xdr:row>
      <xdr:rowOff>101880</xdr:rowOff>
    </xdr:to>
    <xdr:graphicFrame>
      <xdr:nvGraphicFramePr>
        <xdr:cNvPr id="0" name="Chart 1"/>
        <xdr:cNvGraphicFramePr/>
      </xdr:nvGraphicFramePr>
      <xdr:xfrm>
        <a:off x="9069840" y="56772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160920</xdr:rowOff>
    </xdr:from>
    <xdr:to>
      <xdr:col>19</xdr:col>
      <xdr:colOff>363600</xdr:colOff>
      <xdr:row>21</xdr:row>
      <xdr:rowOff>140040</xdr:rowOff>
    </xdr:to>
    <xdr:graphicFrame>
      <xdr:nvGraphicFramePr>
        <xdr:cNvPr id="1" name="Chart 1"/>
        <xdr:cNvGraphicFramePr/>
      </xdr:nvGraphicFramePr>
      <xdr:xfrm>
        <a:off x="9210600" y="570600"/>
        <a:ext cx="647856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22</xdr:row>
      <xdr:rowOff>160560</xdr:rowOff>
    </xdr:from>
    <xdr:to>
      <xdr:col>19</xdr:col>
      <xdr:colOff>363600</xdr:colOff>
      <xdr:row>41</xdr:row>
      <xdr:rowOff>139680</xdr:rowOff>
    </xdr:to>
    <xdr:graphicFrame>
      <xdr:nvGraphicFramePr>
        <xdr:cNvPr id="2" name="Chart 2"/>
        <xdr:cNvGraphicFramePr/>
      </xdr:nvGraphicFramePr>
      <xdr:xfrm>
        <a:off x="9210600" y="4380120"/>
        <a:ext cx="647856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17</xdr:col>
      <xdr:colOff>363240</xdr:colOff>
      <xdr:row>21</xdr:row>
      <xdr:rowOff>140040</xdr:rowOff>
    </xdr:to>
    <xdr:graphicFrame>
      <xdr:nvGraphicFramePr>
        <xdr:cNvPr id="3" name="Chart 1"/>
        <xdr:cNvGraphicFramePr/>
      </xdr:nvGraphicFramePr>
      <xdr:xfrm>
        <a:off x="10479240" y="570600"/>
        <a:ext cx="647856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160560</xdr:rowOff>
    </xdr:from>
    <xdr:to>
      <xdr:col>17</xdr:col>
      <xdr:colOff>363240</xdr:colOff>
      <xdr:row>41</xdr:row>
      <xdr:rowOff>139680</xdr:rowOff>
    </xdr:to>
    <xdr:graphicFrame>
      <xdr:nvGraphicFramePr>
        <xdr:cNvPr id="4" name="Chart 2"/>
        <xdr:cNvGraphicFramePr/>
      </xdr:nvGraphicFramePr>
      <xdr:xfrm>
        <a:off x="10479240" y="4380120"/>
        <a:ext cx="647856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22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true" outlineLevel="0" collapsed="false">
      <c r="A6" s="6" t="s">
        <v>8</v>
      </c>
      <c r="B6" s="7" t="n">
        <f aca="false">IFERROR(MATCH(TRUE(),INDEX(Progression!F5:F64&gt;=1000,0),0),"60+ h")</f>
        <v>3</v>
      </c>
      <c r="C6" s="8" t="n">
        <v>1000</v>
      </c>
      <c r="D6" s="9" t="s">
        <v>9</v>
      </c>
      <c r="E6" s="10" t="s">
        <v>10</v>
      </c>
    </row>
    <row r="7" customFormat="false" ht="15" hidden="false" customHeight="true" outlineLevel="0" collapsed="false">
      <c r="A7" s="6" t="s">
        <v>11</v>
      </c>
      <c r="B7" s="7" t="n">
        <f aca="false">IFERROR(MATCH(TRUE(),INDEX(Progression!F5:F64&gt;=50000,0),0),"60+ h")</f>
        <v>17</v>
      </c>
      <c r="C7" s="8" t="n">
        <v>50000</v>
      </c>
      <c r="D7" s="9" t="s">
        <v>9</v>
      </c>
      <c r="E7" s="10" t="s">
        <v>12</v>
      </c>
    </row>
    <row r="8" customFormat="false" ht="15" hidden="false" customHeight="true" outlineLevel="0" collapsed="false">
      <c r="A8" s="6" t="s">
        <v>13</v>
      </c>
      <c r="B8" s="7" t="n">
        <f aca="false">IFERROR(MATCH(TRUE(),INDEX(Progression!F5:F64&gt;=1000000,0),0),"60+ h")</f>
        <v>31</v>
      </c>
      <c r="C8" s="8" t="n">
        <v>1000000</v>
      </c>
      <c r="D8" s="9" t="s">
        <v>9</v>
      </c>
      <c r="E8" s="10" t="s">
        <v>14</v>
      </c>
    </row>
    <row r="9" customFormat="false" ht="15" hidden="false" customHeight="true" outlineLevel="0" collapsed="false">
      <c r="A9" s="6" t="s">
        <v>15</v>
      </c>
      <c r="B9" s="7" t="n">
        <f aca="false">IFERROR(MATCH(TRUE(),INDEX(Progression!F5:F64&gt;=50000000,0),0),"60+ h")</f>
        <v>48</v>
      </c>
      <c r="C9" s="8" t="n">
        <v>50000000</v>
      </c>
      <c r="D9" s="9" t="s">
        <v>9</v>
      </c>
      <c r="E9" s="10" t="s">
        <v>16</v>
      </c>
    </row>
    <row r="10" customFormat="false" ht="15" hidden="false" customHeight="true" outlineLevel="0" collapsed="false">
      <c r="A10" s="6" t="s">
        <v>17</v>
      </c>
      <c r="B10" s="7" t="str">
        <f aca="false">IFERROR(MATCH(TRUE(),INDEX(Progression!F5:F64&gt;=1000000000,0),0),"60+ h")</f>
        <v>60+ h</v>
      </c>
      <c r="C10" s="8" t="n">
        <v>1000000000</v>
      </c>
      <c r="D10" s="9" t="s">
        <v>9</v>
      </c>
      <c r="E10" s="10" t="s">
        <v>18</v>
      </c>
    </row>
    <row r="12" customFormat="false" ht="15" hidden="false" customHeight="true" outlineLevel="0" collapsed="false">
      <c r="A12" s="4" t="s">
        <v>19</v>
      </c>
      <c r="B12" s="4"/>
      <c r="C12" s="4"/>
      <c r="D12" s="4"/>
      <c r="E12" s="4"/>
    </row>
    <row r="13" customFormat="false" ht="15" hidden="false" customHeight="true" outlineLevel="0" collapsed="false">
      <c r="A13" s="11" t="s">
        <v>20</v>
      </c>
      <c r="B13" s="12" t="n">
        <f aca="false">Progression!F64</f>
        <v>799348622.329819</v>
      </c>
      <c r="C13" s="13" t="s">
        <v>21</v>
      </c>
      <c r="D13" s="13"/>
      <c r="E13" s="13"/>
    </row>
    <row r="14" customFormat="false" ht="15" hidden="false" customHeight="true" outlineLevel="0" collapsed="false">
      <c r="A14" s="11" t="s">
        <v>22</v>
      </c>
      <c r="B14" s="12" t="n">
        <f aca="false">Progression!D64</f>
        <v>228385.656379948</v>
      </c>
      <c r="C14" s="13" t="s">
        <v>23</v>
      </c>
      <c r="D14" s="13"/>
      <c r="E14" s="13"/>
    </row>
    <row r="15" customFormat="false" ht="15" hidden="false" customHeight="true" outlineLevel="0" collapsed="false">
      <c r="A15" s="11" t="s">
        <v>24</v>
      </c>
      <c r="B15" s="12" t="n">
        <f aca="false">Progression!E64</f>
        <v>159869959.465964</v>
      </c>
      <c r="C15" s="13" t="s">
        <v>25</v>
      </c>
      <c r="D15" s="13"/>
      <c r="E15" s="13"/>
    </row>
    <row r="16" customFormat="false" ht="15" hidden="false" customHeight="true" outlineLevel="0" collapsed="false">
      <c r="A16" s="11" t="s">
        <v>26</v>
      </c>
      <c r="B16" s="14" t="n">
        <f aca="false">Progression!G64</f>
        <v>5</v>
      </c>
      <c r="C16" s="13" t="s">
        <v>27</v>
      </c>
      <c r="D16" s="13"/>
      <c r="E16" s="13"/>
    </row>
    <row r="18" customFormat="false" ht="15" hidden="false" customHeight="true" outlineLevel="0" collapsed="false">
      <c r="A18" s="4" t="s">
        <v>28</v>
      </c>
      <c r="B18" s="4"/>
      <c r="C18" s="4"/>
      <c r="D18" s="4"/>
      <c r="E18" s="4"/>
    </row>
    <row r="19" customFormat="false" ht="15" hidden="false" customHeight="true" outlineLevel="0" collapsed="false">
      <c r="A19" s="11" t="s">
        <v>29</v>
      </c>
      <c r="B19" s="14" t="n">
        <f aca="false">Prestige_Loop!C5</f>
        <v>1</v>
      </c>
      <c r="C19" s="13" t="s">
        <v>30</v>
      </c>
      <c r="D19" s="13"/>
      <c r="E19" s="13"/>
    </row>
    <row r="20" customFormat="false" ht="15" hidden="false" customHeight="true" outlineLevel="0" collapsed="false">
      <c r="A20" s="11" t="s">
        <v>31</v>
      </c>
      <c r="B20" s="14" t="n">
        <f aca="false">Prestige_Loop!C9</f>
        <v>9</v>
      </c>
      <c r="C20" s="13" t="s">
        <v>32</v>
      </c>
      <c r="D20" s="13"/>
      <c r="E20" s="13"/>
    </row>
    <row r="21" customFormat="false" ht="15" hidden="false" customHeight="true" outlineLevel="0" collapsed="false">
      <c r="A21" s="11" t="s">
        <v>33</v>
      </c>
      <c r="B21" s="14" t="n">
        <f aca="false">Prestige_Loop!D14</f>
        <v>328</v>
      </c>
      <c r="C21" s="13" t="s">
        <v>34</v>
      </c>
      <c r="D21" s="13"/>
      <c r="E21" s="13"/>
    </row>
    <row r="22" customFormat="false" ht="15" hidden="false" customHeight="true" outlineLevel="0" collapsed="false">
      <c r="A22" s="11" t="s">
        <v>35</v>
      </c>
      <c r="B22" s="15" t="n">
        <f aca="false">Prestige_Loop!E14</f>
        <v>656</v>
      </c>
      <c r="C22" s="13" t="s">
        <v>36</v>
      </c>
      <c r="D22" s="13"/>
      <c r="E22" s="13"/>
    </row>
    <row r="23" customFormat="false" ht="15" hidden="false" customHeight="true" outlineLevel="0" collapsed="false">
      <c r="A23" s="11" t="s">
        <v>37</v>
      </c>
      <c r="B23" s="16" t="n">
        <f aca="false">SUM(Prestige_Loop!F5:F14)</f>
        <v>426.812741484125</v>
      </c>
      <c r="C23" s="13" t="s">
        <v>38</v>
      </c>
      <c r="D23" s="13"/>
      <c r="E23" s="13"/>
    </row>
    <row r="25" customFormat="false" ht="15" hidden="false" customHeight="true" outlineLevel="0" collapsed="false">
      <c r="A25" s="4" t="s">
        <v>39</v>
      </c>
      <c r="B25" s="4"/>
      <c r="C25" s="4"/>
      <c r="D25" s="4"/>
      <c r="E25" s="4"/>
    </row>
    <row r="26" customFormat="false" ht="15" hidden="false" customHeight="true" outlineLevel="0" collapsed="false">
      <c r="A26" s="17" t="s">
        <v>40</v>
      </c>
      <c r="B26" s="17"/>
      <c r="C26" s="17"/>
      <c r="D26" s="17"/>
      <c r="E26" s="17"/>
    </row>
    <row r="27" customFormat="false" ht="15" hidden="false" customHeight="true" outlineLevel="0" collapsed="false">
      <c r="A27" s="17" t="s">
        <v>41</v>
      </c>
      <c r="B27" s="17"/>
      <c r="C27" s="17"/>
      <c r="D27" s="17"/>
      <c r="E27" s="17"/>
    </row>
    <row r="28" customFormat="false" ht="15" hidden="false" customHeight="true" outlineLevel="0" collapsed="false">
      <c r="A28" s="17" t="s">
        <v>42</v>
      </c>
      <c r="B28" s="17"/>
      <c r="C28" s="17"/>
      <c r="D28" s="17"/>
      <c r="E28" s="17"/>
    </row>
    <row r="29" customFormat="false" ht="15" hidden="false" customHeight="true" outlineLevel="0" collapsed="false">
      <c r="A29" s="17" t="s">
        <v>43</v>
      </c>
      <c r="B29" s="17"/>
      <c r="C29" s="17"/>
      <c r="D29" s="17"/>
      <c r="E29" s="17"/>
    </row>
    <row r="30" customFormat="false" ht="15" hidden="false" customHeight="true" outlineLevel="0" collapsed="false">
      <c r="A30" s="17" t="s">
        <v>44</v>
      </c>
      <c r="B30" s="17"/>
      <c r="C30" s="17"/>
      <c r="D30" s="17"/>
      <c r="E30" s="17"/>
    </row>
    <row r="31" customFormat="false" ht="15" hidden="false" customHeight="true" outlineLevel="0" collapsed="false">
      <c r="A31" s="17" t="s">
        <v>45</v>
      </c>
      <c r="B31" s="17"/>
      <c r="C31" s="17"/>
      <c r="D31" s="17"/>
      <c r="E31" s="17"/>
    </row>
    <row r="32" customFormat="false" ht="15" hidden="false" customHeight="true" outlineLevel="0" collapsed="false">
      <c r="A32" s="17" t="s">
        <v>46</v>
      </c>
      <c r="B32" s="17"/>
      <c r="C32" s="17"/>
      <c r="D32" s="17"/>
      <c r="E32" s="17"/>
    </row>
  </sheetData>
  <mergeCells count="22">
    <mergeCell ref="A1:E1"/>
    <mergeCell ref="A2:E2"/>
    <mergeCell ref="A4:E4"/>
    <mergeCell ref="A12:E12"/>
    <mergeCell ref="C13:E13"/>
    <mergeCell ref="C14:E14"/>
    <mergeCell ref="C15:E15"/>
    <mergeCell ref="C16:E16"/>
    <mergeCell ref="A18:E18"/>
    <mergeCell ref="C19:E19"/>
    <mergeCell ref="C20:E20"/>
    <mergeCell ref="C21:E21"/>
    <mergeCell ref="C22:E22"/>
    <mergeCell ref="C23:E23"/>
    <mergeCell ref="A25:E25"/>
    <mergeCell ref="A26:E26"/>
    <mergeCell ref="A27:E27"/>
    <mergeCell ref="A28:E28"/>
    <mergeCell ref="A29:E29"/>
    <mergeCell ref="A30:E30"/>
    <mergeCell ref="A31:E31"/>
    <mergeCell ref="A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55"/>
    <col collapsed="false" customWidth="true" hidden="false" outlineLevel="0" max="8" min="5" style="1" width="14"/>
  </cols>
  <sheetData>
    <row r="1" customFormat="false" ht="19.5" hidden="false" customHeight="true" outlineLevel="0" collapsed="false">
      <c r="A1" s="18" t="s">
        <v>47</v>
      </c>
      <c r="B1" s="18"/>
      <c r="C1" s="18"/>
      <c r="D1" s="18"/>
    </row>
    <row r="2" customFormat="false" ht="15" hidden="false" customHeight="true" outlineLevel="0" collapsed="false">
      <c r="A2" s="19" t="s">
        <v>48</v>
      </c>
      <c r="B2" s="19"/>
      <c r="C2" s="19"/>
      <c r="D2" s="19"/>
    </row>
    <row r="4" customFormat="false" ht="15" hidden="false" customHeight="true" outlineLevel="0" collapsed="false">
      <c r="A4" s="20" t="s">
        <v>49</v>
      </c>
      <c r="B4" s="20"/>
      <c r="C4" s="20"/>
      <c r="D4" s="20"/>
    </row>
    <row r="5" customFormat="false" ht="15" hidden="false" customHeight="true" outlineLevel="0" collapsed="false">
      <c r="A5" s="21" t="s">
        <v>50</v>
      </c>
      <c r="B5" s="21" t="s">
        <v>51</v>
      </c>
      <c r="C5" s="21" t="s">
        <v>52</v>
      </c>
      <c r="D5" s="21" t="s">
        <v>53</v>
      </c>
    </row>
    <row r="6" customFormat="false" ht="15" hidden="false" customHeight="true" outlineLevel="0" collapsed="false">
      <c r="A6" s="6" t="s">
        <v>54</v>
      </c>
      <c r="B6" s="22" t="n">
        <v>50</v>
      </c>
      <c r="C6" s="23" t="s">
        <v>55</v>
      </c>
      <c r="D6" s="9" t="s">
        <v>56</v>
      </c>
    </row>
    <row r="7" customFormat="false" ht="15" hidden="false" customHeight="true" outlineLevel="0" collapsed="false">
      <c r="A7" s="6" t="s">
        <v>57</v>
      </c>
      <c r="B7" s="22" t="n">
        <v>1.15</v>
      </c>
      <c r="C7" s="23" t="s">
        <v>58</v>
      </c>
      <c r="D7" s="9" t="s">
        <v>59</v>
      </c>
    </row>
    <row r="8" customFormat="false" ht="15" hidden="false" customHeight="true" outlineLevel="0" collapsed="false">
      <c r="A8" s="6" t="s">
        <v>60</v>
      </c>
      <c r="B8" s="22" t="n">
        <v>1.07</v>
      </c>
      <c r="C8" s="23" t="s">
        <v>58</v>
      </c>
      <c r="D8" s="9" t="s">
        <v>61</v>
      </c>
    </row>
    <row r="9" customFormat="false" ht="15" hidden="false" customHeight="true" outlineLevel="0" collapsed="false">
      <c r="A9" s="6" t="s">
        <v>62</v>
      </c>
      <c r="B9" s="22" t="n">
        <v>5.6</v>
      </c>
      <c r="C9" s="23" t="s">
        <v>58</v>
      </c>
      <c r="D9" s="9" t="s">
        <v>63</v>
      </c>
    </row>
    <row r="10" customFormat="false" ht="15" hidden="false" customHeight="true" outlineLevel="0" collapsed="false">
      <c r="A10" s="6" t="s">
        <v>64</v>
      </c>
      <c r="B10" s="22" t="n">
        <v>2</v>
      </c>
      <c r="C10" s="23" t="s">
        <v>58</v>
      </c>
      <c r="D10" s="9" t="s">
        <v>65</v>
      </c>
    </row>
    <row r="11" customFormat="false" ht="15" hidden="false" customHeight="true" outlineLevel="0" collapsed="false">
      <c r="A11" s="6" t="s">
        <v>66</v>
      </c>
      <c r="B11" s="22" t="n">
        <v>0.1</v>
      </c>
      <c r="C11" s="23" t="s">
        <v>67</v>
      </c>
      <c r="D11" s="9" t="s">
        <v>68</v>
      </c>
    </row>
    <row r="12" customFormat="false" ht="15" hidden="false" customHeight="true" outlineLevel="0" collapsed="false">
      <c r="A12" s="6" t="s">
        <v>69</v>
      </c>
      <c r="B12" s="22" t="n">
        <v>3</v>
      </c>
      <c r="C12" s="23" t="s">
        <v>70</v>
      </c>
      <c r="D12" s="9" t="s">
        <v>71</v>
      </c>
    </row>
    <row r="13" customFormat="false" ht="15" hidden="false" customHeight="true" outlineLevel="0" collapsed="false">
      <c r="A13" s="6" t="s">
        <v>72</v>
      </c>
      <c r="B13" s="22" t="n">
        <v>0.1</v>
      </c>
      <c r="C13" s="23" t="s">
        <v>67</v>
      </c>
      <c r="D13" s="9" t="s">
        <v>73</v>
      </c>
    </row>
    <row r="15" customFormat="false" ht="15" hidden="false" customHeight="true" outlineLevel="0" collapsed="false">
      <c r="A15" s="20" t="s">
        <v>74</v>
      </c>
      <c r="B15" s="20"/>
      <c r="C15" s="20"/>
      <c r="D15" s="20"/>
      <c r="E15" s="20"/>
      <c r="F15" s="20"/>
      <c r="G15" s="20"/>
      <c r="H15" s="20"/>
    </row>
    <row r="16" customFormat="false" ht="15" hidden="false" customHeight="true" outlineLevel="0" collapsed="false">
      <c r="A16" s="21" t="s">
        <v>75</v>
      </c>
      <c r="B16" s="21" t="s">
        <v>76</v>
      </c>
      <c r="C16" s="21" t="s">
        <v>77</v>
      </c>
      <c r="D16" s="21" t="s">
        <v>78</v>
      </c>
      <c r="E16" s="21" t="s">
        <v>79</v>
      </c>
      <c r="F16" s="21" t="s">
        <v>80</v>
      </c>
      <c r="G16" s="21" t="s">
        <v>81</v>
      </c>
      <c r="H16" s="21" t="s">
        <v>82</v>
      </c>
    </row>
    <row r="17" customFormat="false" ht="15" hidden="false" customHeight="true" outlineLevel="0" collapsed="false">
      <c r="A17" s="24" t="s">
        <v>83</v>
      </c>
      <c r="B17" s="22" t="n">
        <v>5</v>
      </c>
      <c r="C17" s="22" t="n">
        <v>2</v>
      </c>
      <c r="D17" s="22" t="n">
        <v>80</v>
      </c>
      <c r="E17" s="22" t="n">
        <v>1</v>
      </c>
      <c r="F17" s="22" t="n">
        <v>5</v>
      </c>
      <c r="G17" s="22" t="n">
        <v>10</v>
      </c>
      <c r="H17" s="24" t="s">
        <v>84</v>
      </c>
    </row>
    <row r="18" customFormat="false" ht="15" hidden="false" customHeight="true" outlineLevel="0" collapsed="false">
      <c r="A18" s="24" t="s">
        <v>85</v>
      </c>
      <c r="B18" s="22" t="n">
        <v>50</v>
      </c>
      <c r="C18" s="22" t="n">
        <v>5</v>
      </c>
      <c r="D18" s="22" t="n">
        <v>70</v>
      </c>
      <c r="E18" s="22" t="n">
        <v>5</v>
      </c>
      <c r="F18" s="22" t="n">
        <v>30</v>
      </c>
      <c r="G18" s="22" t="n">
        <v>80</v>
      </c>
      <c r="H18" s="24" t="s">
        <v>86</v>
      </c>
    </row>
    <row r="19" customFormat="false" ht="15" hidden="false" customHeight="true" outlineLevel="0" collapsed="false">
      <c r="A19" s="24" t="s">
        <v>87</v>
      </c>
      <c r="B19" s="22" t="n">
        <v>80</v>
      </c>
      <c r="C19" s="22" t="n">
        <v>5</v>
      </c>
      <c r="D19" s="22" t="n">
        <v>75</v>
      </c>
      <c r="E19" s="22" t="n">
        <v>3</v>
      </c>
      <c r="F19" s="22" t="n">
        <v>40</v>
      </c>
      <c r="G19" s="22" t="n">
        <v>100</v>
      </c>
      <c r="H19" s="24" t="s">
        <v>88</v>
      </c>
    </row>
    <row r="20" customFormat="false" ht="15" hidden="false" customHeight="true" outlineLevel="0" collapsed="false">
      <c r="A20" s="24" t="s">
        <v>89</v>
      </c>
      <c r="B20" s="22" t="n">
        <v>500</v>
      </c>
      <c r="C20" s="22" t="n">
        <v>30</v>
      </c>
      <c r="D20" s="22" t="n">
        <v>60</v>
      </c>
      <c r="E20" s="22" t="n">
        <v>15</v>
      </c>
      <c r="F20" s="22" t="n">
        <v>200</v>
      </c>
      <c r="G20" s="22" t="n">
        <v>2000</v>
      </c>
      <c r="H20" s="24" t="s">
        <v>90</v>
      </c>
    </row>
    <row r="21" customFormat="false" ht="15" hidden="false" customHeight="true" outlineLevel="0" collapsed="false">
      <c r="A21" s="24" t="s">
        <v>91</v>
      </c>
      <c r="B21" s="22" t="n">
        <v>5000</v>
      </c>
      <c r="C21" s="22" t="n">
        <v>120</v>
      </c>
      <c r="D21" s="22" t="n">
        <v>90</v>
      </c>
      <c r="E21" s="22" t="n">
        <v>8</v>
      </c>
      <c r="F21" s="22" t="n">
        <v>1000</v>
      </c>
      <c r="G21" s="22" t="n">
        <v>5000</v>
      </c>
      <c r="H21" s="24" t="s">
        <v>92</v>
      </c>
    </row>
    <row r="22" customFormat="false" ht="15" hidden="false" customHeight="true" outlineLevel="0" collapsed="false">
      <c r="A22" s="24" t="s">
        <v>93</v>
      </c>
      <c r="B22" s="22" t="n">
        <v>200</v>
      </c>
      <c r="C22" s="22" t="n">
        <v>60</v>
      </c>
      <c r="D22" s="22" t="n">
        <v>40</v>
      </c>
      <c r="E22" s="22" t="n">
        <v>25</v>
      </c>
      <c r="F22" s="22" t="n">
        <v>50</v>
      </c>
      <c r="G22" s="22" t="n">
        <v>50000</v>
      </c>
      <c r="H22" s="24" t="s">
        <v>94</v>
      </c>
    </row>
    <row r="23" customFormat="false" ht="15" hidden="false" customHeight="true" outlineLevel="0" collapsed="false">
      <c r="A23" s="24" t="s">
        <v>95</v>
      </c>
      <c r="B23" s="22" t="n">
        <v>10000000</v>
      </c>
      <c r="C23" s="22" t="n">
        <v>3600</v>
      </c>
      <c r="D23" s="22" t="n">
        <v>95</v>
      </c>
      <c r="E23" s="22" t="n">
        <v>30</v>
      </c>
      <c r="F23" s="22" t="n">
        <v>100000</v>
      </c>
      <c r="G23" s="22" t="n">
        <v>500000</v>
      </c>
      <c r="H23" s="24" t="s">
        <v>96</v>
      </c>
    </row>
    <row r="25" customFormat="false" ht="15" hidden="false" customHeight="true" outlineLevel="0" collapsed="false">
      <c r="A25" s="20" t="s">
        <v>97</v>
      </c>
      <c r="B25" s="20"/>
      <c r="C25" s="20"/>
      <c r="D25" s="20"/>
    </row>
    <row r="26" customFormat="false" ht="15" hidden="false" customHeight="true" outlineLevel="0" collapsed="false">
      <c r="A26" s="21" t="s">
        <v>50</v>
      </c>
      <c r="B26" s="21" t="s">
        <v>51</v>
      </c>
      <c r="C26" s="21" t="s">
        <v>52</v>
      </c>
      <c r="D26" s="21" t="s">
        <v>53</v>
      </c>
    </row>
    <row r="27" customFormat="false" ht="15" hidden="false" customHeight="true" outlineLevel="0" collapsed="false">
      <c r="A27" s="6" t="s">
        <v>98</v>
      </c>
      <c r="B27" s="22" t="n">
        <v>1000000000</v>
      </c>
      <c r="C27" s="23" t="s">
        <v>55</v>
      </c>
      <c r="D27" s="9" t="s">
        <v>99</v>
      </c>
    </row>
    <row r="28" customFormat="false" ht="15" hidden="false" customHeight="true" outlineLevel="0" collapsed="false">
      <c r="A28" s="6" t="s">
        <v>100</v>
      </c>
      <c r="B28" s="22" t="n">
        <v>0.5</v>
      </c>
      <c r="C28" s="23" t="s">
        <v>101</v>
      </c>
      <c r="D28" s="9" t="s">
        <v>102</v>
      </c>
    </row>
    <row r="29" customFormat="false" ht="15" hidden="false" customHeight="true" outlineLevel="0" collapsed="false">
      <c r="A29" s="6" t="s">
        <v>103</v>
      </c>
      <c r="B29" s="22" t="n">
        <v>0.02</v>
      </c>
      <c r="C29" s="23" t="s">
        <v>67</v>
      </c>
      <c r="D29" s="9" t="s">
        <v>104</v>
      </c>
    </row>
    <row r="30" customFormat="false" ht="15" hidden="false" customHeight="true" outlineLevel="0" collapsed="false">
      <c r="A30" s="6" t="s">
        <v>105</v>
      </c>
      <c r="B30" s="22" t="n">
        <v>8</v>
      </c>
      <c r="C30" s="23" t="s">
        <v>106</v>
      </c>
      <c r="D30" s="9" t="s">
        <v>107</v>
      </c>
    </row>
    <row r="31" customFormat="false" ht="15" hidden="false" customHeight="true" outlineLevel="0" collapsed="false">
      <c r="A31" s="6" t="s">
        <v>108</v>
      </c>
      <c r="B31" s="22" t="n">
        <v>0.5</v>
      </c>
      <c r="C31" s="23" t="s">
        <v>67</v>
      </c>
      <c r="D31" s="9" t="s">
        <v>109</v>
      </c>
    </row>
    <row r="32" customFormat="false" ht="15" hidden="false" customHeight="true" outlineLevel="0" collapsed="false">
      <c r="A32" s="6" t="s">
        <v>110</v>
      </c>
      <c r="B32" s="22" t="n">
        <v>2</v>
      </c>
      <c r="C32" s="23" t="s">
        <v>58</v>
      </c>
      <c r="D32" s="9" t="s">
        <v>111</v>
      </c>
    </row>
    <row r="34" customFormat="false" ht="15" hidden="false" customHeight="true" outlineLevel="0" collapsed="false">
      <c r="A34" s="20" t="s">
        <v>112</v>
      </c>
      <c r="B34" s="20"/>
      <c r="C34" s="20"/>
      <c r="D34" s="20"/>
    </row>
    <row r="35" customFormat="false" ht="15" hidden="false" customHeight="true" outlineLevel="0" collapsed="false">
      <c r="A35" s="21" t="s">
        <v>50</v>
      </c>
      <c r="B35" s="21" t="s">
        <v>51</v>
      </c>
      <c r="C35" s="21" t="s">
        <v>52</v>
      </c>
      <c r="D35" s="21" t="s">
        <v>53</v>
      </c>
    </row>
    <row r="36" customFormat="false" ht="15" hidden="false" customHeight="true" outlineLevel="0" collapsed="false">
      <c r="A36" s="6" t="s">
        <v>113</v>
      </c>
      <c r="B36" s="22" t="n">
        <v>15</v>
      </c>
      <c r="C36" s="23" t="s">
        <v>114</v>
      </c>
      <c r="D36" s="9" t="s">
        <v>115</v>
      </c>
    </row>
    <row r="37" customFormat="false" ht="15" hidden="false" customHeight="true" outlineLevel="0" collapsed="false">
      <c r="A37" s="6" t="s">
        <v>116</v>
      </c>
      <c r="B37" s="22" t="n">
        <v>10</v>
      </c>
      <c r="C37" s="23" t="s">
        <v>117</v>
      </c>
      <c r="D37" s="9" t="s">
        <v>118</v>
      </c>
    </row>
    <row r="38" customFormat="false" ht="15" hidden="false" customHeight="true" outlineLevel="0" collapsed="false">
      <c r="A38" s="6" t="s">
        <v>119</v>
      </c>
      <c r="B38" s="22" t="n">
        <v>4</v>
      </c>
      <c r="C38" s="23" t="s">
        <v>120</v>
      </c>
      <c r="D38" s="9" t="s">
        <v>121</v>
      </c>
    </row>
    <row r="39" customFormat="false" ht="15" hidden="false" customHeight="true" outlineLevel="0" collapsed="false">
      <c r="A39" s="6" t="s">
        <v>122</v>
      </c>
      <c r="B39" s="22" t="n">
        <v>6</v>
      </c>
      <c r="C39" s="23" t="s">
        <v>106</v>
      </c>
      <c r="D39" s="9" t="s">
        <v>123</v>
      </c>
    </row>
    <row r="40" customFormat="false" ht="15" hidden="false" customHeight="true" outlineLevel="0" collapsed="false">
      <c r="A40" s="6" t="s">
        <v>124</v>
      </c>
      <c r="B40" s="22" t="n">
        <v>0.7</v>
      </c>
      <c r="C40" s="23" t="s">
        <v>67</v>
      </c>
      <c r="D40" s="9" t="s">
        <v>125</v>
      </c>
    </row>
    <row r="41" customFormat="false" ht="15" hidden="false" customHeight="true" outlineLevel="0" collapsed="false">
      <c r="A41" s="6" t="s">
        <v>126</v>
      </c>
      <c r="B41" s="22" t="n">
        <v>1.5</v>
      </c>
      <c r="C41" s="23" t="s">
        <v>58</v>
      </c>
      <c r="D41" s="9" t="s">
        <v>127</v>
      </c>
    </row>
    <row r="42" customFormat="false" ht="15" hidden="false" customHeight="true" outlineLevel="0" collapsed="false">
      <c r="A42" s="6" t="s">
        <v>128</v>
      </c>
      <c r="B42" s="22" t="n">
        <v>1.25</v>
      </c>
      <c r="C42" s="23" t="s">
        <v>58</v>
      </c>
      <c r="D42" s="9" t="s">
        <v>129</v>
      </c>
    </row>
  </sheetData>
  <mergeCells count="6">
    <mergeCell ref="A1:D1"/>
    <mergeCell ref="A2:D2"/>
    <mergeCell ref="A4:D4"/>
    <mergeCell ref="A15:H15"/>
    <mergeCell ref="A25:D25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4" min="3" style="1" width="22"/>
    <col collapsed="false" customWidth="true" hidden="false" outlineLevel="0" max="5" min="5" style="1" width="18"/>
    <col collapsed="false" customWidth="true" hidden="false" outlineLevel="0" max="6" min="6" style="1" width="35"/>
  </cols>
  <sheetData>
    <row r="1" customFormat="false" ht="17.25" hidden="false" customHeight="true" outlineLevel="0" collapsed="false">
      <c r="A1" s="25" t="s">
        <v>130</v>
      </c>
      <c r="B1" s="25"/>
      <c r="C1" s="25"/>
      <c r="D1" s="25"/>
      <c r="E1" s="25"/>
      <c r="F1" s="25"/>
    </row>
    <row r="2" customFormat="false" ht="15" hidden="false" customHeight="true" outlineLevel="0" collapsed="false">
      <c r="A2" s="19" t="s">
        <v>131</v>
      </c>
      <c r="B2" s="19"/>
      <c r="C2" s="19"/>
      <c r="D2" s="19"/>
      <c r="E2" s="19"/>
      <c r="F2" s="19"/>
    </row>
    <row r="4" customFormat="false" ht="15" hidden="false" customHeight="true" outlineLevel="0" collapsed="false">
      <c r="A4" s="26" t="s">
        <v>132</v>
      </c>
      <c r="B4" s="26" t="s">
        <v>133</v>
      </c>
      <c r="C4" s="26" t="s">
        <v>134</v>
      </c>
      <c r="D4" s="26" t="s">
        <v>135</v>
      </c>
      <c r="E4" s="26" t="s">
        <v>136</v>
      </c>
      <c r="F4" s="26" t="s">
        <v>53</v>
      </c>
    </row>
    <row r="5" customFormat="false" ht="15" hidden="false" customHeight="true" outlineLevel="0" collapsed="false">
      <c r="A5" s="23" t="n">
        <v>1</v>
      </c>
      <c r="B5" s="11" t="s">
        <v>137</v>
      </c>
      <c r="C5" s="27" t="n">
        <v>1</v>
      </c>
      <c r="D5" s="28" t="n">
        <v>0</v>
      </c>
      <c r="E5" s="23" t="s">
        <v>138</v>
      </c>
      <c r="F5" s="9" t="s">
        <v>139</v>
      </c>
    </row>
    <row r="6" customFormat="false" ht="15" hidden="false" customHeight="true" outlineLevel="0" collapsed="false">
      <c r="A6" s="23" t="n">
        <v>2</v>
      </c>
      <c r="B6" s="11" t="s">
        <v>140</v>
      </c>
      <c r="C6" s="27" t="n">
        <f aca="false">C5*Parameters!$B$9</f>
        <v>5.6</v>
      </c>
      <c r="D6" s="28" t="n">
        <v>1000</v>
      </c>
      <c r="E6" s="23" t="s">
        <v>138</v>
      </c>
      <c r="F6" s="9" t="s">
        <v>141</v>
      </c>
    </row>
    <row r="7" customFormat="false" ht="15" hidden="false" customHeight="true" outlineLevel="0" collapsed="false">
      <c r="A7" s="23" t="n">
        <v>3</v>
      </c>
      <c r="B7" s="11" t="s">
        <v>142</v>
      </c>
      <c r="C7" s="27" t="n">
        <f aca="false">C6*Parameters!$B$9</f>
        <v>31.36</v>
      </c>
      <c r="D7" s="28" t="n">
        <v>50000</v>
      </c>
      <c r="E7" s="23" t="s">
        <v>138</v>
      </c>
      <c r="F7" s="9" t="s">
        <v>143</v>
      </c>
    </row>
    <row r="8" customFormat="false" ht="15" hidden="false" customHeight="true" outlineLevel="0" collapsed="false">
      <c r="A8" s="23" t="n">
        <v>4</v>
      </c>
      <c r="B8" s="11" t="s">
        <v>144</v>
      </c>
      <c r="C8" s="27" t="n">
        <f aca="false">C7*Parameters!$B$9</f>
        <v>175.616</v>
      </c>
      <c r="D8" s="28" t="n">
        <v>1000000</v>
      </c>
      <c r="E8" s="23" t="s">
        <v>145</v>
      </c>
      <c r="F8" s="9" t="s">
        <v>146</v>
      </c>
    </row>
    <row r="9" customFormat="false" ht="15" hidden="false" customHeight="true" outlineLevel="0" collapsed="false">
      <c r="A9" s="23" t="n">
        <v>5</v>
      </c>
      <c r="B9" s="11" t="s">
        <v>147</v>
      </c>
      <c r="C9" s="27" t="n">
        <f aca="false">C8*Parameters!$B$9</f>
        <v>983.4496</v>
      </c>
      <c r="D9" s="28" t="n">
        <v>50000000</v>
      </c>
      <c r="E9" s="23" t="s">
        <v>145</v>
      </c>
      <c r="F9" s="9" t="s">
        <v>148</v>
      </c>
    </row>
    <row r="10" customFormat="false" ht="15" hidden="false" customHeight="true" outlineLevel="0" collapsed="false">
      <c r="A10" s="23" t="n">
        <v>6</v>
      </c>
      <c r="B10" s="11" t="s">
        <v>149</v>
      </c>
      <c r="C10" s="27" t="n">
        <f aca="false">C9*Parameters!$B$9</f>
        <v>5507.31776</v>
      </c>
      <c r="D10" s="28" t="n">
        <v>1000000000</v>
      </c>
      <c r="E10" s="23" t="s">
        <v>145</v>
      </c>
      <c r="F10" s="9" t="s">
        <v>150</v>
      </c>
    </row>
    <row r="11" customFormat="false" ht="15" hidden="false" customHeight="true" outlineLevel="0" collapsed="false">
      <c r="A11" s="23" t="n">
        <v>7</v>
      </c>
      <c r="B11" s="11" t="s">
        <v>151</v>
      </c>
      <c r="C11" s="27" t="n">
        <f aca="false">C10*Parameters!$B$9</f>
        <v>30840.979456</v>
      </c>
      <c r="D11" s="28" t="n">
        <v>100000000000</v>
      </c>
      <c r="E11" s="23" t="s">
        <v>145</v>
      </c>
      <c r="F11" s="9" t="s">
        <v>152</v>
      </c>
    </row>
    <row r="12" customFormat="false" ht="15" hidden="false" customHeight="true" outlineLevel="0" collapsed="false">
      <c r="A12" s="23" t="n">
        <v>8</v>
      </c>
      <c r="B12" s="11" t="s">
        <v>153</v>
      </c>
      <c r="C12" s="27" t="n">
        <f aca="false">C11*Parameters!$B$9</f>
        <v>172709.4849536</v>
      </c>
      <c r="D12" s="28" t="n">
        <v>10000000000000</v>
      </c>
      <c r="E12" s="23" t="s">
        <v>145</v>
      </c>
      <c r="F12" s="9" t="s">
        <v>154</v>
      </c>
    </row>
    <row r="13" customFormat="false" ht="15" hidden="false" customHeight="true" outlineLevel="0" collapsed="false">
      <c r="A13" s="23" t="n">
        <v>9</v>
      </c>
      <c r="B13" s="11" t="s">
        <v>155</v>
      </c>
      <c r="C13" s="27" t="n">
        <f aca="false">C12*Parameters!$B$9</f>
        <v>967173.11574016</v>
      </c>
      <c r="D13" s="28" t="n">
        <v>1000000000000000</v>
      </c>
      <c r="E13" s="23" t="s">
        <v>156</v>
      </c>
      <c r="F13" s="9" t="s">
        <v>157</v>
      </c>
    </row>
    <row r="14" customFormat="false" ht="15" hidden="false" customHeight="true" outlineLevel="0" collapsed="false">
      <c r="A14" s="23" t="n">
        <v>10</v>
      </c>
      <c r="B14" s="11" t="s">
        <v>158</v>
      </c>
      <c r="C14" s="27" t="n">
        <f aca="false">C13*Parameters!$B$9</f>
        <v>5416169.44814489</v>
      </c>
      <c r="D14" s="28" t="n">
        <v>1E+017</v>
      </c>
      <c r="E14" s="23" t="s">
        <v>156</v>
      </c>
      <c r="F14" s="9" t="s">
        <v>159</v>
      </c>
    </row>
    <row r="17" customFormat="false" ht="15" hidden="false" customHeight="true" outlineLevel="0" collapsed="false">
      <c r="A17" s="20" t="s">
        <v>160</v>
      </c>
      <c r="B17" s="20"/>
      <c r="C17" s="20"/>
      <c r="D17" s="20"/>
      <c r="E17" s="20"/>
      <c r="F17" s="20"/>
    </row>
    <row r="18" customFormat="false" ht="15" hidden="false" customHeight="true" outlineLevel="0" collapsed="false">
      <c r="A18" s="13" t="s">
        <v>161</v>
      </c>
      <c r="B18" s="13"/>
      <c r="C18" s="13"/>
      <c r="D18" s="13"/>
      <c r="E18" s="13"/>
      <c r="F18" s="13"/>
    </row>
    <row r="19" customFormat="false" ht="15" hidden="false" customHeight="true" outlineLevel="0" collapsed="false">
      <c r="A19" s="21" t="s">
        <v>162</v>
      </c>
      <c r="B19" s="21" t="s">
        <v>163</v>
      </c>
      <c r="C19" s="21" t="s">
        <v>164</v>
      </c>
      <c r="D19" s="21" t="s">
        <v>165</v>
      </c>
      <c r="E19" s="21" t="s">
        <v>166</v>
      </c>
      <c r="F19" s="21" t="s">
        <v>167</v>
      </c>
    </row>
    <row r="20" customFormat="false" ht="15" hidden="false" customHeight="true" outlineLevel="0" collapsed="false">
      <c r="A20" s="23" t="n">
        <v>1</v>
      </c>
      <c r="B20" s="29" t="n">
        <f aca="false">10*POWER(Parameters!$B$7,0)</f>
        <v>10</v>
      </c>
      <c r="C20" s="30" t="n">
        <f aca="false">$C$5*POWER(Parameters!$B$8,1)</f>
        <v>1.07</v>
      </c>
      <c r="D20" s="30" t="n">
        <f aca="false">C20*Parameters!$B$10</f>
        <v>2.14</v>
      </c>
      <c r="E20" s="29" t="n">
        <f aca="false">B20/D20</f>
        <v>4.67289719626168</v>
      </c>
      <c r="F20" s="29" t="n">
        <f aca="false">B20</f>
        <v>10</v>
      </c>
    </row>
    <row r="21" customFormat="false" ht="15" hidden="false" customHeight="true" outlineLevel="0" collapsed="false">
      <c r="A21" s="23" t="n">
        <v>2</v>
      </c>
      <c r="B21" s="29" t="n">
        <f aca="false">10*POWER(Parameters!$B$7,1)</f>
        <v>11.5</v>
      </c>
      <c r="C21" s="30" t="n">
        <f aca="false">$C$5*POWER(Parameters!$B$8,2)</f>
        <v>1.1449</v>
      </c>
      <c r="D21" s="30" t="n">
        <f aca="false">C21*Parameters!$B$10</f>
        <v>2.2898</v>
      </c>
      <c r="E21" s="29" t="n">
        <f aca="false">B21/D21</f>
        <v>5.02227268757097</v>
      </c>
      <c r="F21" s="29" t="n">
        <f aca="false">F20+B21</f>
        <v>21.5</v>
      </c>
    </row>
    <row r="22" customFormat="false" ht="15" hidden="false" customHeight="true" outlineLevel="0" collapsed="false">
      <c r="A22" s="23" t="n">
        <v>3</v>
      </c>
      <c r="B22" s="29" t="n">
        <f aca="false">10*POWER(Parameters!$B$7,2)</f>
        <v>13.225</v>
      </c>
      <c r="C22" s="30" t="n">
        <f aca="false">$C$5*POWER(Parameters!$B$8,3)</f>
        <v>1.225043</v>
      </c>
      <c r="D22" s="30" t="n">
        <f aca="false">C22*Parameters!$B$10</f>
        <v>2.450086</v>
      </c>
      <c r="E22" s="29" t="n">
        <f aca="false">B22/D22</f>
        <v>5.39776971094076</v>
      </c>
      <c r="F22" s="29" t="n">
        <f aca="false">F21+B22</f>
        <v>34.725</v>
      </c>
    </row>
    <row r="23" customFormat="false" ht="15" hidden="false" customHeight="true" outlineLevel="0" collapsed="false">
      <c r="A23" s="23" t="n">
        <v>4</v>
      </c>
      <c r="B23" s="29" t="n">
        <f aca="false">10*POWER(Parameters!$B$7,3)</f>
        <v>15.20875</v>
      </c>
      <c r="C23" s="30" t="n">
        <f aca="false">$C$5*POWER(Parameters!$B$8,4)</f>
        <v>1.31079601</v>
      </c>
      <c r="D23" s="30" t="n">
        <f aca="false">C23*Parameters!$B$10</f>
        <v>2.62159202</v>
      </c>
      <c r="E23" s="29" t="n">
        <f aca="false">B23/D23</f>
        <v>5.8013412781139</v>
      </c>
      <c r="F23" s="29" t="n">
        <f aca="false">F22+B23</f>
        <v>49.93375</v>
      </c>
    </row>
    <row r="24" customFormat="false" ht="15" hidden="false" customHeight="true" outlineLevel="0" collapsed="false">
      <c r="A24" s="23" t="n">
        <v>5</v>
      </c>
      <c r="B24" s="29" t="n">
        <f aca="false">10*POWER(Parameters!$B$7,4)</f>
        <v>17.4900625</v>
      </c>
      <c r="C24" s="30" t="n">
        <f aca="false">$C$5*POWER(Parameters!$B$8,5)</f>
        <v>1.4025517307</v>
      </c>
      <c r="D24" s="30" t="n">
        <f aca="false">C24*Parameters!$B$10</f>
        <v>2.8051034614</v>
      </c>
      <c r="E24" s="29" t="n">
        <f aca="false">B24/D24</f>
        <v>6.23508642040279</v>
      </c>
      <c r="F24" s="29" t="n">
        <f aca="false">F23+B24</f>
        <v>67.4238125</v>
      </c>
    </row>
    <row r="25" customFormat="false" ht="15" hidden="false" customHeight="true" outlineLevel="0" collapsed="false">
      <c r="A25" s="23" t="n">
        <v>6</v>
      </c>
      <c r="B25" s="29" t="n">
        <f aca="false">10*POWER(Parameters!$B$7,5)</f>
        <v>20.113571875</v>
      </c>
      <c r="C25" s="30" t="n">
        <f aca="false">$C$5*POWER(Parameters!$B$8,6)</f>
        <v>1.500730351849</v>
      </c>
      <c r="D25" s="30" t="n">
        <f aca="false">C25*Parameters!$B$10</f>
        <v>3.001460703698</v>
      </c>
      <c r="E25" s="29" t="n">
        <f aca="false">B25/D25</f>
        <v>6.70126110604038</v>
      </c>
      <c r="F25" s="29" t="n">
        <f aca="false">F24+B25</f>
        <v>87.537384375</v>
      </c>
    </row>
    <row r="26" customFormat="false" ht="15" hidden="false" customHeight="true" outlineLevel="0" collapsed="false">
      <c r="A26" s="23" t="n">
        <v>7</v>
      </c>
      <c r="B26" s="29" t="n">
        <f aca="false">10*POWER(Parameters!$B$7,6)</f>
        <v>23.13060765625</v>
      </c>
      <c r="C26" s="30" t="n">
        <f aca="false">$C$5*POWER(Parameters!$B$8,7)</f>
        <v>1.60578147647843</v>
      </c>
      <c r="D26" s="30" t="n">
        <f aca="false">C26*Parameters!$B$10</f>
        <v>3.21156295295686</v>
      </c>
      <c r="E26" s="29" t="n">
        <f aca="false">B26/D26</f>
        <v>7.20228997378171</v>
      </c>
      <c r="F26" s="29" t="n">
        <f aca="false">F25+B26</f>
        <v>110.66799203125</v>
      </c>
    </row>
    <row r="27" customFormat="false" ht="15" hidden="false" customHeight="true" outlineLevel="0" collapsed="false">
      <c r="A27" s="23" t="n">
        <v>8</v>
      </c>
      <c r="B27" s="29" t="n">
        <f aca="false">10*POWER(Parameters!$B$7,7)</f>
        <v>26.6001988046875</v>
      </c>
      <c r="C27" s="30" t="n">
        <f aca="false">$C$5*POWER(Parameters!$B$8,8)</f>
        <v>1.71818617983192</v>
      </c>
      <c r="D27" s="30" t="n">
        <f aca="false">C27*Parameters!$B$10</f>
        <v>3.43637235966384</v>
      </c>
      <c r="E27" s="29" t="n">
        <f aca="false">B27/D27</f>
        <v>7.74077894378408</v>
      </c>
      <c r="F27" s="29" t="n">
        <f aca="false">F26+B27</f>
        <v>137.268190835937</v>
      </c>
    </row>
    <row r="28" customFormat="false" ht="15" hidden="false" customHeight="true" outlineLevel="0" collapsed="false">
      <c r="A28" s="23" t="n">
        <v>9</v>
      </c>
      <c r="B28" s="29" t="n">
        <f aca="false">10*POWER(Parameters!$B$7,8)</f>
        <v>30.5902286253906</v>
      </c>
      <c r="C28" s="30" t="n">
        <f aca="false">$C$5*POWER(Parameters!$B$8,9)</f>
        <v>1.83845921242016</v>
      </c>
      <c r="D28" s="30" t="n">
        <f aca="false">C28*Parameters!$B$10</f>
        <v>3.67691842484031</v>
      </c>
      <c r="E28" s="29" t="n">
        <f aca="false">B28/D28</f>
        <v>8.31952877135672</v>
      </c>
      <c r="F28" s="29" t="n">
        <f aca="false">F27+B28</f>
        <v>167.858419461328</v>
      </c>
    </row>
    <row r="29" customFormat="false" ht="15" hidden="false" customHeight="true" outlineLevel="0" collapsed="false">
      <c r="A29" s="23" t="n">
        <v>10</v>
      </c>
      <c r="B29" s="29" t="n">
        <f aca="false">10*POWER(Parameters!$B$7,9)</f>
        <v>35.1787629191992</v>
      </c>
      <c r="C29" s="30" t="n">
        <f aca="false">$C$5*POWER(Parameters!$B$8,10)</f>
        <v>1.96715135728957</v>
      </c>
      <c r="D29" s="30" t="n">
        <f aca="false">C29*Parameters!$B$10</f>
        <v>3.93430271457913</v>
      </c>
      <c r="E29" s="29" t="n">
        <f aca="false">B29/D29</f>
        <v>8.94154961407498</v>
      </c>
      <c r="F29" s="29" t="n">
        <f aca="false">F28+B29</f>
        <v>203.037182380527</v>
      </c>
    </row>
    <row r="30" customFormat="false" ht="15" hidden="false" customHeight="true" outlineLevel="0" collapsed="false">
      <c r="A30" s="23" t="n">
        <v>11</v>
      </c>
      <c r="B30" s="29" t="n">
        <f aca="false">10*POWER(Parameters!$B$7,10)</f>
        <v>40.4555773570791</v>
      </c>
      <c r="C30" s="30" t="n">
        <f aca="false">$C$5*POWER(Parameters!$B$8,11)</f>
        <v>2.10485195229984</v>
      </c>
      <c r="D30" s="30" t="n">
        <f aca="false">C30*Parameters!$B$10</f>
        <v>4.20970390459967</v>
      </c>
      <c r="E30" s="29" t="n">
        <f aca="false">B30/D30</f>
        <v>9.61007668802451</v>
      </c>
      <c r="F30" s="29" t="n">
        <f aca="false">F29+B30</f>
        <v>243.492759737606</v>
      </c>
    </row>
    <row r="31" customFormat="false" ht="15" hidden="false" customHeight="true" outlineLevel="0" collapsed="false">
      <c r="A31" s="23" t="n">
        <v>12</v>
      </c>
      <c r="B31" s="29" t="n">
        <f aca="false">10*POWER(Parameters!$B$7,11)</f>
        <v>46.5239139606409</v>
      </c>
      <c r="C31" s="30" t="n">
        <f aca="false">$C$5*POWER(Parameters!$B$8,12)</f>
        <v>2.25219158896083</v>
      </c>
      <c r="D31" s="30" t="n">
        <f aca="false">C31*Parameters!$B$10</f>
        <v>4.50438317792165</v>
      </c>
      <c r="E31" s="29" t="n">
        <f aca="false">B31/D31</f>
        <v>10.3285870946058</v>
      </c>
      <c r="F31" s="29" t="n">
        <f aca="false">F30+B31</f>
        <v>290.016673698247</v>
      </c>
    </row>
    <row r="32" customFormat="false" ht="15" hidden="false" customHeight="true" outlineLevel="0" collapsed="false">
      <c r="A32" s="23" t="n">
        <v>13</v>
      </c>
      <c r="B32" s="29" t="n">
        <f aca="false">10*POWER(Parameters!$B$7,12)</f>
        <v>53.5025010547371</v>
      </c>
      <c r="C32" s="30" t="n">
        <f aca="false">$C$5*POWER(Parameters!$B$8,13)</f>
        <v>2.40984500018808</v>
      </c>
      <c r="D32" s="30" t="n">
        <f aca="false">C32*Parameters!$B$10</f>
        <v>4.81969000037617</v>
      </c>
      <c r="E32" s="29" t="n">
        <f aca="false">B32/D32</f>
        <v>11.1008179054174</v>
      </c>
      <c r="F32" s="29" t="n">
        <f aca="false">F31+B32</f>
        <v>343.519174752984</v>
      </c>
    </row>
    <row r="33" customFormat="false" ht="15" hidden="false" customHeight="true" outlineLevel="0" collapsed="false">
      <c r="A33" s="23" t="n">
        <v>14</v>
      </c>
      <c r="B33" s="29" t="n">
        <f aca="false">10*POWER(Parameters!$B$7,13)</f>
        <v>61.5278762129476</v>
      </c>
      <c r="C33" s="30" t="n">
        <f aca="false">$C$5*POWER(Parameters!$B$8,14)</f>
        <v>2.57853415020125</v>
      </c>
      <c r="D33" s="30" t="n">
        <f aca="false">C33*Parameters!$B$10</f>
        <v>5.1570683004025</v>
      </c>
      <c r="E33" s="29" t="n">
        <f aca="false">B33/D33</f>
        <v>11.9307855992804</v>
      </c>
      <c r="F33" s="29" t="n">
        <f aca="false">F32+B33</f>
        <v>405.047050965932</v>
      </c>
    </row>
    <row r="34" customFormat="false" ht="15" hidden="false" customHeight="true" outlineLevel="0" collapsed="false">
      <c r="A34" s="23" t="n">
        <v>15</v>
      </c>
      <c r="B34" s="29" t="n">
        <f aca="false">10*POWER(Parameters!$B$7,14)</f>
        <v>70.7570576448898</v>
      </c>
      <c r="C34" s="30" t="n">
        <f aca="false">$C$5*POWER(Parameters!$B$8,15)</f>
        <v>2.75903154071534</v>
      </c>
      <c r="D34" s="30" t="n">
        <f aca="false">C34*Parameters!$B$10</f>
        <v>5.51806308143067</v>
      </c>
      <c r="E34" s="29" t="n">
        <f aca="false">B34/D34</f>
        <v>12.8228069524976</v>
      </c>
      <c r="F34" s="29" t="n">
        <f aca="false">F33+B34</f>
        <v>475.804108610822</v>
      </c>
    </row>
    <row r="35" customFormat="false" ht="15" hidden="false" customHeight="true" outlineLevel="0" collapsed="false">
      <c r="A35" s="23" t="n">
        <v>16</v>
      </c>
      <c r="B35" s="29" t="n">
        <f aca="false">10*POWER(Parameters!$B$7,15)</f>
        <v>81.3706162916232</v>
      </c>
      <c r="C35" s="30" t="n">
        <f aca="false">$C$5*POWER(Parameters!$B$8,16)</f>
        <v>2.95216374856541</v>
      </c>
      <c r="D35" s="30" t="n">
        <f aca="false">C35*Parameters!$B$10</f>
        <v>5.90432749713082</v>
      </c>
      <c r="E35" s="29" t="n">
        <f aca="false">B35/D35</f>
        <v>13.7815214910021</v>
      </c>
      <c r="F35" s="29" t="n">
        <f aca="false">F34+B35</f>
        <v>557.174724902445</v>
      </c>
    </row>
    <row r="36" customFormat="false" ht="15" hidden="false" customHeight="true" outlineLevel="0" collapsed="false">
      <c r="A36" s="23" t="n">
        <v>17</v>
      </c>
      <c r="B36" s="29" t="n">
        <f aca="false">10*POWER(Parameters!$B$7,16)</f>
        <v>93.5762087353667</v>
      </c>
      <c r="C36" s="30" t="n">
        <f aca="false">$C$5*POWER(Parameters!$B$8,17)</f>
        <v>3.15881521096499</v>
      </c>
      <c r="D36" s="30" t="n">
        <f aca="false">C36*Parameters!$B$10</f>
        <v>6.31763042192998</v>
      </c>
      <c r="E36" s="29" t="n">
        <f aca="false">B36/D36</f>
        <v>14.8119156211705</v>
      </c>
      <c r="F36" s="29" t="n">
        <f aca="false">F35+B36</f>
        <v>650.750933637812</v>
      </c>
    </row>
    <row r="37" customFormat="false" ht="15" hidden="false" customHeight="true" outlineLevel="0" collapsed="false">
      <c r="A37" s="23" t="n">
        <v>18</v>
      </c>
      <c r="B37" s="29" t="n">
        <f aca="false">10*POWER(Parameters!$B$7,17)</f>
        <v>107.612640045672</v>
      </c>
      <c r="C37" s="30" t="n">
        <f aca="false">$C$5*POWER(Parameters!$B$8,18)</f>
        <v>3.37993227573254</v>
      </c>
      <c r="D37" s="30" t="n">
        <f aca="false">C37*Parameters!$B$10</f>
        <v>6.75986455146508</v>
      </c>
      <c r="E37" s="29" t="n">
        <f aca="false">B37/D37</f>
        <v>15.9193485648094</v>
      </c>
      <c r="F37" s="29" t="n">
        <f aca="false">F36+B37</f>
        <v>758.363573683483</v>
      </c>
    </row>
    <row r="38" customFormat="false" ht="15" hidden="false" customHeight="true" outlineLevel="0" collapsed="false">
      <c r="A38" s="23" t="n">
        <v>19</v>
      </c>
      <c r="B38" s="29" t="n">
        <f aca="false">10*POWER(Parameters!$B$7,18)</f>
        <v>123.754536052522</v>
      </c>
      <c r="C38" s="30" t="n">
        <f aca="false">$C$5*POWER(Parameters!$B$8,19)</f>
        <v>3.61652753503382</v>
      </c>
      <c r="D38" s="30" t="n">
        <f aca="false">C38*Parameters!$B$10</f>
        <v>7.23305507006763</v>
      </c>
      <c r="E38" s="29" t="n">
        <f aca="false">B38/D38</f>
        <v>17.1095802332064</v>
      </c>
      <c r="F38" s="29" t="n">
        <f aca="false">F37+B38</f>
        <v>882.118109736006</v>
      </c>
    </row>
    <row r="39" customFormat="false" ht="15" hidden="false" customHeight="true" outlineLevel="0" collapsed="false">
      <c r="A39" s="23" t="n">
        <v>20</v>
      </c>
      <c r="B39" s="29" t="n">
        <f aca="false">10*POWER(Parameters!$B$7,19)</f>
        <v>142.317716460401</v>
      </c>
      <c r="C39" s="30" t="n">
        <f aca="false">$C$5*POWER(Parameters!$B$8,20)</f>
        <v>3.86968446248618</v>
      </c>
      <c r="D39" s="30" t="n">
        <f aca="false">C39*Parameters!$B$10</f>
        <v>7.73936892497237</v>
      </c>
      <c r="E39" s="29" t="n">
        <f aca="false">B39/D39</f>
        <v>18.3888011852218</v>
      </c>
      <c r="F39" s="29" t="n">
        <f aca="false">F38+B39</f>
        <v>1024.43582619641</v>
      </c>
    </row>
    <row r="40" customFormat="false" ht="15" hidden="false" customHeight="true" outlineLevel="0" collapsed="false">
      <c r="A40" s="23" t="n">
        <v>21</v>
      </c>
      <c r="B40" s="29" t="n">
        <f aca="false">10*POWER(Parameters!$B$7,20)</f>
        <v>163.665373929461</v>
      </c>
      <c r="C40" s="30" t="n">
        <f aca="false">$C$5*POWER(Parameters!$B$8,21)</f>
        <v>4.14056237486022</v>
      </c>
      <c r="D40" s="30" t="n">
        <f aca="false">C40*Parameters!$B$10</f>
        <v>8.28112474972043</v>
      </c>
      <c r="E40" s="29" t="n">
        <f aca="false">B40/D40</f>
        <v>19.7636648252384</v>
      </c>
      <c r="F40" s="29" t="n">
        <f aca="false">F39+B40</f>
        <v>1188.10120012587</v>
      </c>
    </row>
    <row r="41" customFormat="false" ht="15" hidden="false" customHeight="true" outlineLevel="0" collapsed="false">
      <c r="A41" s="23" t="n">
        <v>22</v>
      </c>
      <c r="B41" s="29" t="n">
        <f aca="false">10*POWER(Parameters!$B$7,21)</f>
        <v>188.21518001888</v>
      </c>
      <c r="C41" s="30" t="n">
        <f aca="false">$C$5*POWER(Parameters!$B$8,22)</f>
        <v>4.43040174110043</v>
      </c>
      <c r="D41" s="30" t="n">
        <f aca="false">C41*Parameters!$B$10</f>
        <v>8.86080348220087</v>
      </c>
      <c r="E41" s="29" t="n">
        <f aca="false">B41/D41</f>
        <v>21.2413220084338</v>
      </c>
      <c r="F41" s="29" t="n">
        <f aca="false">F40+B41</f>
        <v>1376.31638014475</v>
      </c>
    </row>
    <row r="42" customFormat="false" ht="15" hidden="false" customHeight="true" outlineLevel="0" collapsed="false">
      <c r="A42" s="23" t="n">
        <v>23</v>
      </c>
      <c r="B42" s="29" t="n">
        <f aca="false">10*POWER(Parameters!$B$7,22)</f>
        <v>216.447457021712</v>
      </c>
      <c r="C42" s="30" t="n">
        <f aca="false">$C$5*POWER(Parameters!$B$8,23)</f>
        <v>4.74052986297746</v>
      </c>
      <c r="D42" s="30" t="n">
        <f aca="false">C42*Parameters!$B$10</f>
        <v>9.48105972595493</v>
      </c>
      <c r="E42" s="29" t="n">
        <f aca="false">B42/D42</f>
        <v>22.8294582333634</v>
      </c>
      <c r="F42" s="29" t="n">
        <f aca="false">F41+B42</f>
        <v>1592.76383716646</v>
      </c>
    </row>
    <row r="43" customFormat="false" ht="15" hidden="false" customHeight="true" outlineLevel="0" collapsed="false">
      <c r="A43" s="23" t="n">
        <v>24</v>
      </c>
      <c r="B43" s="29" t="n">
        <f aca="false">10*POWER(Parameters!$B$7,23)</f>
        <v>248.914575574969</v>
      </c>
      <c r="C43" s="30" t="n">
        <f aca="false">$C$5*POWER(Parameters!$B$8,24)</f>
        <v>5.07236695338589</v>
      </c>
      <c r="D43" s="30" t="n">
        <f aca="false">C43*Parameters!$B$10</f>
        <v>10.1447339067718</v>
      </c>
      <c r="E43" s="29" t="n">
        <f aca="false">B43/D43</f>
        <v>24.5363336152971</v>
      </c>
      <c r="F43" s="29" t="n">
        <f aca="false">F42+B43</f>
        <v>1841.67841274143</v>
      </c>
    </row>
    <row r="44" customFormat="false" ht="15" hidden="false" customHeight="true" outlineLevel="0" collapsed="false">
      <c r="A44" s="23" t="n">
        <v>25</v>
      </c>
      <c r="B44" s="29" t="n">
        <f aca="false">10*POWER(Parameters!$B$7,24)</f>
        <v>286.251761911214</v>
      </c>
      <c r="C44" s="30" t="n">
        <f aca="false">$C$5*POWER(Parameters!$B$8,25)</f>
        <v>5.4274326401229</v>
      </c>
      <c r="D44" s="30" t="n">
        <f aca="false">C44*Parameters!$B$10</f>
        <v>10.8548652802458</v>
      </c>
      <c r="E44" s="29" t="n">
        <f aca="false">B44/D44</f>
        <v>26.3708258482165</v>
      </c>
      <c r="F44" s="29" t="n">
        <f aca="false">F43+B44</f>
        <v>2127.93017465264</v>
      </c>
    </row>
    <row r="45" customFormat="false" ht="15" hidden="false" customHeight="true" outlineLevel="0" collapsed="false">
      <c r="A45" s="23" t="n">
        <v>26</v>
      </c>
      <c r="B45" s="29" t="n">
        <f aca="false">10*POWER(Parameters!$B$7,25)</f>
        <v>329.189526197896</v>
      </c>
      <c r="C45" s="30" t="n">
        <f aca="false">$C$5*POWER(Parameters!$B$8,26)</f>
        <v>5.8073529249315</v>
      </c>
      <c r="D45" s="30" t="n">
        <f aca="false">C45*Parameters!$B$10</f>
        <v>11.614705849863</v>
      </c>
      <c r="E45" s="29" t="n">
        <f aca="false">B45/D45</f>
        <v>28.3424763789243</v>
      </c>
      <c r="F45" s="29" t="n">
        <f aca="false">F44+B45</f>
        <v>2457.11970085054</v>
      </c>
    </row>
    <row r="46" customFormat="false" ht="15" hidden="false" customHeight="true" outlineLevel="0" collapsed="false">
      <c r="A46" s="23" t="n">
        <v>27</v>
      </c>
      <c r="B46" s="29" t="n">
        <f aca="false">10*POWER(Parameters!$B$7,26)</f>
        <v>378.567955127581</v>
      </c>
      <c r="C46" s="30" t="n">
        <f aca="false">$C$5*POWER(Parameters!$B$8,27)</f>
        <v>6.21386762967671</v>
      </c>
      <c r="D46" s="30" t="n">
        <f aca="false">C46*Parameters!$B$10</f>
        <v>12.4277352593534</v>
      </c>
      <c r="E46" s="29" t="n">
        <f aca="false">B46/D46</f>
        <v>30.4615400334233</v>
      </c>
      <c r="F46" s="29" t="n">
        <f aca="false">F45+B46</f>
        <v>2835.68765597812</v>
      </c>
    </row>
    <row r="47" customFormat="false" ht="15" hidden="false" customHeight="true" outlineLevel="0" collapsed="false">
      <c r="A47" s="23" t="n">
        <v>28</v>
      </c>
      <c r="B47" s="29" t="n">
        <f aca="false">10*POWER(Parameters!$B$7,27)</f>
        <v>435.353148396718</v>
      </c>
      <c r="C47" s="30" t="n">
        <f aca="false">$C$5*POWER(Parameters!$B$8,28)</f>
        <v>6.64883836375408</v>
      </c>
      <c r="D47" s="30" t="n">
        <f aca="false">C47*Parameters!$B$10</f>
        <v>13.2976767275082</v>
      </c>
      <c r="E47" s="29" t="n">
        <f aca="false">B47/D47</f>
        <v>32.7390383536793</v>
      </c>
      <c r="F47" s="29" t="n">
        <f aca="false">F46+B47</f>
        <v>3271.04080437484</v>
      </c>
    </row>
    <row r="48" customFormat="false" ht="15" hidden="false" customHeight="true" outlineLevel="0" collapsed="false">
      <c r="A48" s="23" t="n">
        <v>29</v>
      </c>
      <c r="B48" s="29" t="n">
        <f aca="false">10*POWER(Parameters!$B$7,28)</f>
        <v>500.656120656225</v>
      </c>
      <c r="C48" s="30" t="n">
        <f aca="false">$C$5*POWER(Parameters!$B$8,29)</f>
        <v>7.11425704921686</v>
      </c>
      <c r="D48" s="30" t="n">
        <f aca="false">C48*Parameters!$B$10</f>
        <v>14.2285140984337</v>
      </c>
      <c r="E48" s="29" t="n">
        <f aca="false">B48/D48</f>
        <v>35.1868169221786</v>
      </c>
      <c r="F48" s="29" t="n">
        <f aca="false">F47+B48</f>
        <v>3771.69692503106</v>
      </c>
    </row>
    <row r="49" customFormat="false" ht="15" hidden="false" customHeight="true" outlineLevel="0" collapsed="false">
      <c r="A49" s="23" t="n">
        <v>30</v>
      </c>
      <c r="B49" s="29" t="n">
        <f aca="false">10*POWER(Parameters!$B$7,29)</f>
        <v>575.754538754659</v>
      </c>
      <c r="C49" s="30" t="n">
        <f aca="false">$C$5*POWER(Parameters!$B$8,30)</f>
        <v>7.61225504266204</v>
      </c>
      <c r="D49" s="30" t="n">
        <f aca="false">C49*Parameters!$B$10</f>
        <v>15.2245100853241</v>
      </c>
      <c r="E49" s="29" t="n">
        <f aca="false">B49/D49</f>
        <v>37.817606972435</v>
      </c>
      <c r="F49" s="29" t="n">
        <f aca="false">F48+B49</f>
        <v>4347.45146378572</v>
      </c>
    </row>
    <row r="50" customFormat="false" ht="15" hidden="false" customHeight="true" outlineLevel="0" collapsed="false">
      <c r="A50" s="23" t="n">
        <v>31</v>
      </c>
      <c r="B50" s="29" t="n">
        <f aca="false">10*POWER(Parameters!$B$7,30)</f>
        <v>662.117719567858</v>
      </c>
      <c r="C50" s="30" t="n">
        <f aca="false">$C$5*POWER(Parameters!$B$8,31)</f>
        <v>8.14511289564839</v>
      </c>
      <c r="D50" s="30" t="n">
        <f aca="false">C50*Parameters!$B$10</f>
        <v>16.2902257912968</v>
      </c>
      <c r="E50" s="29" t="n">
        <f aca="false">B50/D50</f>
        <v>40.6450916058881</v>
      </c>
      <c r="F50" s="29" t="n">
        <f aca="false">F49+B50</f>
        <v>5009.56918335358</v>
      </c>
    </row>
    <row r="51" customFormat="false" ht="15" hidden="false" customHeight="true" outlineLevel="0" collapsed="false">
      <c r="A51" s="23" t="n">
        <v>32</v>
      </c>
      <c r="B51" s="29" t="n">
        <f aca="false">10*POWER(Parameters!$B$7,31)</f>
        <v>761.435377503036</v>
      </c>
      <c r="C51" s="30" t="n">
        <f aca="false">$C$5*POWER(Parameters!$B$8,32)</f>
        <v>8.71527079834377</v>
      </c>
      <c r="D51" s="30" t="n">
        <f aca="false">C51*Parameters!$B$10</f>
        <v>17.4305415966875</v>
      </c>
      <c r="E51" s="29" t="n">
        <f aca="false">B51/D51</f>
        <v>43.6839769595993</v>
      </c>
      <c r="F51" s="29" t="n">
        <f aca="false">F50+B51</f>
        <v>5771.00456085661</v>
      </c>
    </row>
    <row r="52" customFormat="false" ht="15" hidden="false" customHeight="true" outlineLevel="0" collapsed="false">
      <c r="A52" s="23" t="n">
        <v>33</v>
      </c>
      <c r="B52" s="29" t="n">
        <f aca="false">10*POWER(Parameters!$B$7,32)</f>
        <v>875.650684128492</v>
      </c>
      <c r="C52" s="30" t="n">
        <f aca="false">$C$5*POWER(Parameters!$B$8,33)</f>
        <v>9.32533975422784</v>
      </c>
      <c r="D52" s="30" t="n">
        <f aca="false">C52*Parameters!$B$10</f>
        <v>18.6506795084557</v>
      </c>
      <c r="E52" s="29" t="n">
        <f aca="false">B52/D52</f>
        <v>46.9500686948964</v>
      </c>
      <c r="F52" s="29" t="n">
        <f aca="false">F51+B52</f>
        <v>6646.65524498511</v>
      </c>
    </row>
    <row r="53" customFormat="false" ht="15" hidden="false" customHeight="true" outlineLevel="0" collapsed="false">
      <c r="A53" s="23" t="n">
        <v>34</v>
      </c>
      <c r="B53" s="29" t="n">
        <f aca="false">10*POWER(Parameters!$B$7,33)</f>
        <v>1006.99828674777</v>
      </c>
      <c r="C53" s="30" t="n">
        <f aca="false">$C$5*POWER(Parameters!$B$8,34)</f>
        <v>9.97811353702379</v>
      </c>
      <c r="D53" s="30" t="n">
        <f aca="false">C53*Parameters!$B$10</f>
        <v>19.9562270740476</v>
      </c>
      <c r="E53" s="29" t="n">
        <f aca="false">B53/D53</f>
        <v>50.4603542047952</v>
      </c>
      <c r="F53" s="29" t="n">
        <f aca="false">F52+B53</f>
        <v>7653.65353173287</v>
      </c>
    </row>
    <row r="54" customFormat="false" ht="15" hidden="false" customHeight="true" outlineLevel="0" collapsed="false">
      <c r="A54" s="23" t="n">
        <v>35</v>
      </c>
      <c r="B54" s="29" t="n">
        <f aca="false">10*POWER(Parameters!$B$7,34)</f>
        <v>1158.04802975993</v>
      </c>
      <c r="C54" s="30" t="n">
        <f aca="false">$C$5*POWER(Parameters!$B$8,35)</f>
        <v>10.6765814846155</v>
      </c>
      <c r="D54" s="30" t="n">
        <f aca="false">C54*Parameters!$B$10</f>
        <v>21.3531629692309</v>
      </c>
      <c r="E54" s="29" t="n">
        <f aca="false">B54/D54</f>
        <v>54.2330909677706</v>
      </c>
      <c r="F54" s="29" t="n">
        <f aca="false">F53+B54</f>
        <v>8811.7015614928</v>
      </c>
    </row>
    <row r="55" customFormat="false" ht="15" hidden="false" customHeight="true" outlineLevel="0" collapsed="false">
      <c r="A55" s="23" t="n">
        <v>36</v>
      </c>
      <c r="B55" s="29" t="n">
        <f aca="false">10*POWER(Parameters!$B$7,35)</f>
        <v>1331.75523422392</v>
      </c>
      <c r="C55" s="30" t="n">
        <f aca="false">$C$5*POWER(Parameters!$B$8,36)</f>
        <v>11.4239421885385</v>
      </c>
      <c r="D55" s="30" t="n">
        <f aca="false">C55*Parameters!$B$10</f>
        <v>22.8478843770771</v>
      </c>
      <c r="E55" s="29" t="n">
        <f aca="false">B55/D55</f>
        <v>58.287901507417</v>
      </c>
      <c r="F55" s="29" t="n">
        <f aca="false">F54+B55</f>
        <v>10143.4567957167</v>
      </c>
    </row>
    <row r="56" customFormat="false" ht="15" hidden="false" customHeight="true" outlineLevel="0" collapsed="false">
      <c r="A56" s="23" t="n">
        <v>37</v>
      </c>
      <c r="B56" s="29" t="n">
        <f aca="false">10*POWER(Parameters!$B$7,36)</f>
        <v>1531.51851935751</v>
      </c>
      <c r="C56" s="30" t="n">
        <f aca="false">$C$5*POWER(Parameters!$B$8,37)</f>
        <v>12.2236181417362</v>
      </c>
      <c r="D56" s="30" t="n">
        <f aca="false">C56*Parameters!$B$10</f>
        <v>24.4472362834725</v>
      </c>
      <c r="E56" s="29" t="n">
        <f aca="false">B56/D56</f>
        <v>62.6458754518968</v>
      </c>
      <c r="F56" s="29" t="n">
        <f aca="false">F55+B56</f>
        <v>11674.9753150742</v>
      </c>
    </row>
    <row r="57" customFormat="false" ht="15" hidden="false" customHeight="true" outlineLevel="0" collapsed="false">
      <c r="A57" s="23" t="n">
        <v>38</v>
      </c>
      <c r="B57" s="29" t="n">
        <f aca="false">10*POWER(Parameters!$B$7,37)</f>
        <v>1761.24629726113</v>
      </c>
      <c r="C57" s="30" t="n">
        <f aca="false">$C$5*POWER(Parameters!$B$8,38)</f>
        <v>13.0792714116578</v>
      </c>
      <c r="D57" s="30" t="n">
        <f aca="false">C57*Parameters!$B$10</f>
        <v>26.1585428233155</v>
      </c>
      <c r="E57" s="29" t="n">
        <f aca="false">B57/D57</f>
        <v>67.3296792240012</v>
      </c>
      <c r="F57" s="29" t="n">
        <f aca="false">F56+B57</f>
        <v>13436.2216123354</v>
      </c>
    </row>
    <row r="58" customFormat="false" ht="15" hidden="false" customHeight="true" outlineLevel="0" collapsed="false">
      <c r="A58" s="23" t="n">
        <v>39</v>
      </c>
      <c r="B58" s="29" t="n">
        <f aca="false">10*POWER(Parameters!$B$7,38)</f>
        <v>2025.4332418503</v>
      </c>
      <c r="C58" s="30" t="n">
        <f aca="false">$C$5*POWER(Parameters!$B$8,39)</f>
        <v>13.9948204104738</v>
      </c>
      <c r="D58" s="30" t="n">
        <f aca="false">C58*Parameters!$B$10</f>
        <v>27.9896408209476</v>
      </c>
      <c r="E58" s="29" t="n">
        <f aca="false">B58/D58</f>
        <v>72.3636739323377</v>
      </c>
      <c r="F58" s="29" t="n">
        <f aca="false">F57+B58</f>
        <v>15461.6548541857</v>
      </c>
    </row>
    <row r="59" customFormat="false" ht="15" hidden="false" customHeight="true" outlineLevel="0" collapsed="false">
      <c r="A59" s="23" t="n">
        <v>40</v>
      </c>
      <c r="B59" s="29" t="n">
        <f aca="false">10*POWER(Parameters!$B$7,39)</f>
        <v>2329.24822812785</v>
      </c>
      <c r="C59" s="30" t="n">
        <f aca="false">$C$5*POWER(Parameters!$B$8,40)</f>
        <v>14.974457839207</v>
      </c>
      <c r="D59" s="30" t="n">
        <f aca="false">C59*Parameters!$B$10</f>
        <v>29.948915678414</v>
      </c>
      <c r="E59" s="29" t="n">
        <f aca="false">B59/D59</f>
        <v>77.7740420768115</v>
      </c>
      <c r="F59" s="29" t="n">
        <f aca="false">F58+B59</f>
        <v>17790.9030823135</v>
      </c>
    </row>
    <row r="60" customFormat="false" ht="15" hidden="false" customHeight="true" outlineLevel="0" collapsed="false">
      <c r="A60" s="23" t="n">
        <v>41</v>
      </c>
      <c r="B60" s="29" t="n">
        <f aca="false">10*POWER(Parameters!$B$7,40)</f>
        <v>2678.63546234703</v>
      </c>
      <c r="C60" s="30" t="n">
        <f aca="false">$C$5*POWER(Parameters!$B$8,41)</f>
        <v>16.0226698879515</v>
      </c>
      <c r="D60" s="30" t="n">
        <f aca="false">C60*Parameters!$B$10</f>
        <v>32.0453397759029</v>
      </c>
      <c r="E60" s="29" t="n">
        <f aca="false">B60/D60</f>
        <v>83.5889237274142</v>
      </c>
      <c r="F60" s="29" t="n">
        <f aca="false">F59+B60</f>
        <v>20469.5385446605</v>
      </c>
    </row>
    <row r="61" customFormat="false" ht="15" hidden="false" customHeight="true" outlineLevel="0" collapsed="false">
      <c r="A61" s="23" t="n">
        <v>42</v>
      </c>
      <c r="B61" s="29" t="n">
        <f aca="false">10*POWER(Parameters!$B$7,41)</f>
        <v>3080.43078169908</v>
      </c>
      <c r="C61" s="30" t="n">
        <f aca="false">$C$5*POWER(Parameters!$B$8,42)</f>
        <v>17.1442567801081</v>
      </c>
      <c r="D61" s="30" t="n">
        <f aca="false">C61*Parameters!$B$10</f>
        <v>34.2885135602162</v>
      </c>
      <c r="E61" s="29" t="n">
        <f aca="false">B61/D61</f>
        <v>89.8385628846041</v>
      </c>
      <c r="F61" s="29" t="n">
        <f aca="false">F60+B61</f>
        <v>23549.9693263596</v>
      </c>
    </row>
    <row r="62" customFormat="false" ht="15" hidden="false" customHeight="true" outlineLevel="0" collapsed="false">
      <c r="A62" s="23" t="n">
        <v>43</v>
      </c>
      <c r="B62" s="29" t="n">
        <f aca="false">10*POWER(Parameters!$B$7,42)</f>
        <v>3542.49539895394</v>
      </c>
      <c r="C62" s="30" t="n">
        <f aca="false">$C$5*POWER(Parameters!$B$8,43)</f>
        <v>18.3443547547156</v>
      </c>
      <c r="D62" s="30" t="n">
        <f aca="false">C62*Parameters!$B$10</f>
        <v>36.6887095094313</v>
      </c>
      <c r="E62" s="29" t="n">
        <f aca="false">B62/D62</f>
        <v>96.5554647825184</v>
      </c>
      <c r="F62" s="29" t="n">
        <f aca="false">F61+B62</f>
        <v>27092.4647253136</v>
      </c>
    </row>
    <row r="63" customFormat="false" ht="15" hidden="false" customHeight="true" outlineLevel="0" collapsed="false">
      <c r="A63" s="23" t="n">
        <v>44</v>
      </c>
      <c r="B63" s="29" t="n">
        <f aca="false">10*POWER(Parameters!$B$7,43)</f>
        <v>4073.86970879703</v>
      </c>
      <c r="C63" s="30" t="n">
        <f aca="false">$C$5*POWER(Parameters!$B$8,44)</f>
        <v>19.6284595875457</v>
      </c>
      <c r="D63" s="30" t="n">
        <f aca="false">C63*Parameters!$B$10</f>
        <v>39.2569191750915</v>
      </c>
      <c r="E63" s="29" t="n">
        <f aca="false">B63/D63</f>
        <v>103.774564953174</v>
      </c>
      <c r="F63" s="29" t="n">
        <f aca="false">F62+B63</f>
        <v>31166.3344341106</v>
      </c>
    </row>
    <row r="64" customFormat="false" ht="15" hidden="false" customHeight="true" outlineLevel="0" collapsed="false">
      <c r="A64" s="23" t="n">
        <v>45</v>
      </c>
      <c r="B64" s="29" t="n">
        <f aca="false">10*POWER(Parameters!$B$7,44)</f>
        <v>4684.95016511659</v>
      </c>
      <c r="C64" s="30" t="n">
        <f aca="false">$C$5*POWER(Parameters!$B$8,45)</f>
        <v>21.0024517586739</v>
      </c>
      <c r="D64" s="30" t="n">
        <f aca="false">C64*Parameters!$B$10</f>
        <v>42.0049035173479</v>
      </c>
      <c r="E64" s="29" t="n">
        <f aca="false">B64/D64</f>
        <v>111.533410930981</v>
      </c>
      <c r="F64" s="29" t="n">
        <f aca="false">F63+B64</f>
        <v>35851.2845992272</v>
      </c>
    </row>
    <row r="65" customFormat="false" ht="15" hidden="false" customHeight="true" outlineLevel="0" collapsed="false">
      <c r="A65" s="23" t="n">
        <v>46</v>
      </c>
      <c r="B65" s="29" t="n">
        <f aca="false">10*POWER(Parameters!$B$7,45)</f>
        <v>5387.69268988407</v>
      </c>
      <c r="C65" s="30" t="n">
        <f aca="false">$C$5*POWER(Parameters!$B$8,46)</f>
        <v>22.4726233817811</v>
      </c>
      <c r="D65" s="30" t="n">
        <f aca="false">C65*Parameters!$B$10</f>
        <v>44.9452467635622</v>
      </c>
      <c r="E65" s="29" t="n">
        <f aca="false">B65/D65</f>
        <v>119.872357542643</v>
      </c>
      <c r="F65" s="29" t="n">
        <f aca="false">F64+B65</f>
        <v>41238.9772891112</v>
      </c>
    </row>
    <row r="66" customFormat="false" ht="15" hidden="false" customHeight="true" outlineLevel="0" collapsed="false">
      <c r="A66" s="23" t="n">
        <v>47</v>
      </c>
      <c r="B66" s="29" t="n">
        <f aca="false">10*POWER(Parameters!$B$7,46)</f>
        <v>6195.84659336668</v>
      </c>
      <c r="C66" s="30" t="n">
        <f aca="false">$C$5*POWER(Parameters!$B$8,47)</f>
        <v>24.0457070185058</v>
      </c>
      <c r="D66" s="30" t="n">
        <f aca="false">C66*Parameters!$B$10</f>
        <v>48.0914140370116</v>
      </c>
      <c r="E66" s="29" t="n">
        <f aca="false">B66/D66</f>
        <v>128.834776798168</v>
      </c>
      <c r="F66" s="29" t="n">
        <f aca="false">F65+B66</f>
        <v>47434.8238824779</v>
      </c>
    </row>
    <row r="67" customFormat="false" ht="15" hidden="false" customHeight="true" outlineLevel="0" collapsed="false">
      <c r="A67" s="23" t="n">
        <v>48</v>
      </c>
      <c r="B67" s="29" t="n">
        <f aca="false">10*POWER(Parameters!$B$7,47)</f>
        <v>7125.22358237169</v>
      </c>
      <c r="C67" s="30" t="n">
        <f aca="false">$C$5*POWER(Parameters!$B$8,48)</f>
        <v>25.7289065098012</v>
      </c>
      <c r="D67" s="30" t="n">
        <f aca="false">C67*Parameters!$B$10</f>
        <v>51.4578130196024</v>
      </c>
      <c r="E67" s="29" t="n">
        <f aca="false">B67/D67</f>
        <v>138.467283474667</v>
      </c>
      <c r="F67" s="29" t="n">
        <f aca="false">F66+B67</f>
        <v>54560.0474648496</v>
      </c>
    </row>
    <row r="68" customFormat="false" ht="15" hidden="false" customHeight="true" outlineLevel="0" collapsed="false">
      <c r="A68" s="23" t="n">
        <v>49</v>
      </c>
      <c r="B68" s="29" t="n">
        <f aca="false">10*POWER(Parameters!$B$7,48)</f>
        <v>8194.00711972744</v>
      </c>
      <c r="C68" s="30" t="n">
        <f aca="false">$C$5*POWER(Parameters!$B$8,49)</f>
        <v>27.5299299654873</v>
      </c>
      <c r="D68" s="30" t="n">
        <f aca="false">C68*Parameters!$B$10</f>
        <v>55.0598599309746</v>
      </c>
      <c r="E68" s="29" t="n">
        <f aca="false">B68/D68</f>
        <v>148.819977566231</v>
      </c>
      <c r="F68" s="29" t="n">
        <f aca="false">F67+B68</f>
        <v>62754.054584577</v>
      </c>
    </row>
    <row r="69" customFormat="false" ht="15" hidden="false" customHeight="true" outlineLevel="0" collapsed="false">
      <c r="A69" s="23" t="n">
        <v>50</v>
      </c>
      <c r="B69" s="29" t="n">
        <f aca="false">10*POWER(Parameters!$B$7,49)</f>
        <v>9423.10818768655</v>
      </c>
      <c r="C69" s="30" t="n">
        <f aca="false">$C$5*POWER(Parameters!$B$8,50)</f>
        <v>29.4570250630714</v>
      </c>
      <c r="D69" s="30" t="n">
        <f aca="false">C69*Parameters!$B$10</f>
        <v>58.9140501261428</v>
      </c>
      <c r="E69" s="29" t="n">
        <f aca="false">B69/D69</f>
        <v>159.946704860902</v>
      </c>
      <c r="F69" s="29" t="n">
        <f aca="false">F68+B69</f>
        <v>72177.1627722636</v>
      </c>
    </row>
    <row r="70" customFormat="false" ht="15" hidden="false" customHeight="true" outlineLevel="0" collapsed="false">
      <c r="A70" s="23" t="n">
        <v>51</v>
      </c>
      <c r="B70" s="29" t="n">
        <f aca="false">10*POWER(Parameters!$B$7,50)</f>
        <v>10836.5744158395</v>
      </c>
      <c r="C70" s="30" t="n">
        <f aca="false">$C$5*POWER(Parameters!$B$8,51)</f>
        <v>31.5190168174864</v>
      </c>
      <c r="D70" s="30" t="n">
        <f aca="false">C70*Parameters!$B$10</f>
        <v>63.0380336349728</v>
      </c>
      <c r="E70" s="29" t="n">
        <f aca="false">B70/D70</f>
        <v>171.905337000035</v>
      </c>
      <c r="F70" s="29" t="n">
        <f aca="false">F69+B70</f>
        <v>83013.7371881031</v>
      </c>
    </row>
    <row r="71" customFormat="false" ht="15" hidden="false" customHeight="true" outlineLevel="0" collapsed="false">
      <c r="A71" s="23" t="n">
        <v>52</v>
      </c>
      <c r="B71" s="29" t="n">
        <f aca="false">10*POWER(Parameters!$B$7,51)</f>
        <v>12462.0605782155</v>
      </c>
      <c r="C71" s="30" t="n">
        <f aca="false">$C$5*POWER(Parameters!$B$8,52)</f>
        <v>33.7253479947105</v>
      </c>
      <c r="D71" s="30" t="n">
        <f aca="false">C71*Parameters!$B$10</f>
        <v>67.4506959894209</v>
      </c>
      <c r="E71" s="29" t="n">
        <f aca="false">B71/D71</f>
        <v>184.758072476673</v>
      </c>
      <c r="F71" s="29" t="n">
        <f aca="false">F70+B71</f>
        <v>95475.7977663186</v>
      </c>
    </row>
    <row r="72" customFormat="false" ht="15" hidden="false" customHeight="true" outlineLevel="0" collapsed="false">
      <c r="A72" s="23" t="n">
        <v>53</v>
      </c>
      <c r="B72" s="29" t="n">
        <f aca="false">10*POWER(Parameters!$B$7,52)</f>
        <v>14331.3696649478</v>
      </c>
      <c r="C72" s="30" t="n">
        <f aca="false">$C$5*POWER(Parameters!$B$8,53)</f>
        <v>36.0861223543402</v>
      </c>
      <c r="D72" s="30" t="n">
        <f aca="false">C72*Parameters!$B$10</f>
        <v>72.1722447086804</v>
      </c>
      <c r="E72" s="29" t="n">
        <f aca="false">B72/D72</f>
        <v>198.57176013848</v>
      </c>
      <c r="F72" s="29" t="n">
        <f aca="false">F71+B72</f>
        <v>109807.167431266</v>
      </c>
    </row>
    <row r="73" customFormat="false" ht="15" hidden="false" customHeight="true" outlineLevel="0" collapsed="false">
      <c r="A73" s="23" t="n">
        <v>54</v>
      </c>
      <c r="B73" s="29" t="n">
        <f aca="false">10*POWER(Parameters!$B$7,53)</f>
        <v>16481.07511469</v>
      </c>
      <c r="C73" s="30" t="n">
        <f aca="false">$C$5*POWER(Parameters!$B$8,54)</f>
        <v>38.612150919144</v>
      </c>
      <c r="D73" s="30" t="n">
        <f aca="false">C73*Parameters!$B$10</f>
        <v>77.224301838288</v>
      </c>
      <c r="E73" s="29" t="n">
        <f aca="false">B73/D73</f>
        <v>213.418246877806</v>
      </c>
      <c r="F73" s="29" t="n">
        <f aca="false">F72+B73</f>
        <v>126288.242545956</v>
      </c>
    </row>
    <row r="74" customFormat="false" ht="15" hidden="false" customHeight="true" outlineLevel="0" collapsed="false">
      <c r="A74" s="23" t="n">
        <v>55</v>
      </c>
      <c r="B74" s="29" t="n">
        <f aca="false">10*POWER(Parameters!$B$7,54)</f>
        <v>18953.2363818934</v>
      </c>
      <c r="C74" s="30" t="n">
        <f aca="false">$C$5*POWER(Parameters!$B$8,55)</f>
        <v>41.3150014834841</v>
      </c>
      <c r="D74" s="30" t="n">
        <f aca="false">C74*Parameters!$B$10</f>
        <v>82.6300029669682</v>
      </c>
      <c r="E74" s="29" t="n">
        <f aca="false">B74/D74</f>
        <v>229.374751317268</v>
      </c>
      <c r="F74" s="29" t="n">
        <f aca="false">F73+B74</f>
        <v>145241.47892785</v>
      </c>
    </row>
    <row r="75" customFormat="false" ht="15" hidden="false" customHeight="true" outlineLevel="0" collapsed="false">
      <c r="A75" s="23" t="n">
        <v>56</v>
      </c>
      <c r="B75" s="29" t="n">
        <f aca="false">10*POWER(Parameters!$B$7,55)</f>
        <v>21796.2218391775</v>
      </c>
      <c r="C75" s="30" t="n">
        <f aca="false">$C$5*POWER(Parameters!$B$8,56)</f>
        <v>44.207051587328</v>
      </c>
      <c r="D75" s="30" t="n">
        <f aca="false">C75*Parameters!$B$10</f>
        <v>88.414103174656</v>
      </c>
      <c r="E75" s="29" t="n">
        <f aca="false">B75/D75</f>
        <v>246.524265434447</v>
      </c>
      <c r="F75" s="29" t="n">
        <f aca="false">F74+B75</f>
        <v>167037.700767027</v>
      </c>
    </row>
    <row r="76" customFormat="false" ht="15" hidden="false" customHeight="true" outlineLevel="0" collapsed="false">
      <c r="A76" s="23" t="n">
        <v>57</v>
      </c>
      <c r="B76" s="29" t="n">
        <f aca="false">10*POWER(Parameters!$B$7,56)</f>
        <v>25065.6551150541</v>
      </c>
      <c r="C76" s="30" t="n">
        <f aca="false">$C$5*POWER(Parameters!$B$8,57)</f>
        <v>47.3015451984409</v>
      </c>
      <c r="D76" s="30" t="n">
        <f aca="false">C76*Parameters!$B$10</f>
        <v>94.6030903968819</v>
      </c>
      <c r="E76" s="29" t="n">
        <f aca="false">B76/D76</f>
        <v>264.955986214592</v>
      </c>
      <c r="F76" s="29" t="n">
        <f aca="false">F75+B76</f>
        <v>192103.355882081</v>
      </c>
    </row>
    <row r="77" customFormat="false" ht="15" hidden="false" customHeight="true" outlineLevel="0" collapsed="false">
      <c r="A77" s="23" t="n">
        <v>58</v>
      </c>
      <c r="B77" s="29" t="n">
        <f aca="false">10*POWER(Parameters!$B$7,57)</f>
        <v>28825.5033823122</v>
      </c>
      <c r="C77" s="30" t="n">
        <f aca="false">$C$5*POWER(Parameters!$B$8,58)</f>
        <v>50.6126533623318</v>
      </c>
      <c r="D77" s="30" t="n">
        <f aca="false">C77*Parameters!$B$10</f>
        <v>101.225306724664</v>
      </c>
      <c r="E77" s="29" t="n">
        <f aca="false">B77/D77</f>
        <v>284.765779576431</v>
      </c>
      <c r="F77" s="29" t="n">
        <f aca="false">F76+B77</f>
        <v>220928.859264393</v>
      </c>
    </row>
    <row r="78" customFormat="false" ht="15" hidden="false" customHeight="true" outlineLevel="0" collapsed="false">
      <c r="A78" s="23" t="n">
        <v>59</v>
      </c>
      <c r="B78" s="29" t="n">
        <f aca="false">10*POWER(Parameters!$B$7,58)</f>
        <v>33149.328889659</v>
      </c>
      <c r="C78" s="30" t="n">
        <f aca="false">$C$5*POWER(Parameters!$B$8,59)</f>
        <v>54.155539097695</v>
      </c>
      <c r="D78" s="30" t="n">
        <f aca="false">C78*Parameters!$B$10</f>
        <v>108.31107819539</v>
      </c>
      <c r="E78" s="29" t="n">
        <f aca="false">B78/D78</f>
        <v>306.056678984015</v>
      </c>
      <c r="F78" s="29" t="n">
        <f aca="false">F77+B78</f>
        <v>254078.188154052</v>
      </c>
    </row>
    <row r="79" customFormat="false" ht="15" hidden="false" customHeight="true" outlineLevel="0" collapsed="false">
      <c r="A79" s="23" t="n">
        <v>60</v>
      </c>
      <c r="B79" s="29" t="n">
        <f aca="false">10*POWER(Parameters!$B$7,59)</f>
        <v>38121.7282231079</v>
      </c>
      <c r="C79" s="30" t="n">
        <f aca="false">$C$5*POWER(Parameters!$B$8,60)</f>
        <v>57.9464268345337</v>
      </c>
      <c r="D79" s="30" t="n">
        <f aca="false">C79*Parameters!$B$10</f>
        <v>115.892853669067</v>
      </c>
      <c r="E79" s="29" t="n">
        <f aca="false">B79/D79</f>
        <v>328.93942133796</v>
      </c>
      <c r="F79" s="29" t="n">
        <f aca="false">F78+B79</f>
        <v>292199.91637716</v>
      </c>
    </row>
    <row r="80" customFormat="false" ht="15" hidden="false" customHeight="true" outlineLevel="0" collapsed="false">
      <c r="A80" s="23" t="n">
        <v>61</v>
      </c>
      <c r="B80" s="29" t="n">
        <f aca="false">10*POWER(Parameters!$B$7,60)</f>
        <v>43839.987456574</v>
      </c>
      <c r="C80" s="30" t="n">
        <f aca="false">$C$5*POWER(Parameters!$B$8,61)</f>
        <v>62.0026767129511</v>
      </c>
      <c r="D80" s="30" t="n">
        <f aca="false">C80*Parameters!$B$10</f>
        <v>124.005353425902</v>
      </c>
      <c r="E80" s="29" t="n">
        <f aca="false">B80/D80</f>
        <v>353.533022933321</v>
      </c>
      <c r="F80" s="29" t="n">
        <f aca="false">F79+B80</f>
        <v>336039.903833734</v>
      </c>
    </row>
    <row r="81" customFormat="false" ht="15" hidden="false" customHeight="true" outlineLevel="0" collapsed="false">
      <c r="A81" s="23" t="n">
        <v>62</v>
      </c>
      <c r="B81" s="29" t="n">
        <f aca="false">10*POWER(Parameters!$B$7,61)</f>
        <v>50415.9855750601</v>
      </c>
      <c r="C81" s="30" t="n">
        <f aca="false">$C$5*POWER(Parameters!$B$8,62)</f>
        <v>66.3428640828576</v>
      </c>
      <c r="D81" s="30" t="n">
        <f aca="false">C81*Parameters!$B$10</f>
        <v>132.685728165715</v>
      </c>
      <c r="E81" s="29" t="n">
        <f aca="false">B81/D81</f>
        <v>379.965398479737</v>
      </c>
      <c r="F81" s="29" t="n">
        <f aca="false">F80+B81</f>
        <v>386455.889408794</v>
      </c>
    </row>
    <row r="82" customFormat="false" ht="15" hidden="false" customHeight="true" outlineLevel="0" collapsed="false">
      <c r="A82" s="23" t="n">
        <v>63</v>
      </c>
      <c r="B82" s="29" t="n">
        <f aca="false">10*POWER(Parameters!$B$7,62)</f>
        <v>57978.3834113191</v>
      </c>
      <c r="C82" s="30" t="n">
        <f aca="false">$C$5*POWER(Parameters!$B$8,63)</f>
        <v>70.9868645686577</v>
      </c>
      <c r="D82" s="30" t="n">
        <f aca="false">C82*Parameters!$B$10</f>
        <v>141.973729137315</v>
      </c>
      <c r="E82" s="29" t="n">
        <f aca="false">B82/D82</f>
        <v>408.374026403456</v>
      </c>
      <c r="F82" s="29" t="n">
        <f aca="false">F81+B82</f>
        <v>444434.272820114</v>
      </c>
    </row>
    <row r="83" customFormat="false" ht="15" hidden="false" customHeight="true" outlineLevel="0" collapsed="false">
      <c r="A83" s="23" t="n">
        <v>64</v>
      </c>
      <c r="B83" s="29" t="n">
        <f aca="false">10*POWER(Parameters!$B$7,63)</f>
        <v>66675.140923017</v>
      </c>
      <c r="C83" s="30" t="n">
        <f aca="false">$C$5*POWER(Parameters!$B$8,64)</f>
        <v>75.9559450884637</v>
      </c>
      <c r="D83" s="30" t="n">
        <f aca="false">C83*Parameters!$B$10</f>
        <v>151.911890176927</v>
      </c>
      <c r="E83" s="29" t="n">
        <f aca="false">B83/D83</f>
        <v>438.906663891565</v>
      </c>
      <c r="F83" s="29" t="n">
        <f aca="false">F82+B83</f>
        <v>511109.413743131</v>
      </c>
    </row>
    <row r="84" customFormat="false" ht="15" hidden="false" customHeight="true" outlineLevel="0" collapsed="false">
      <c r="A84" s="23" t="n">
        <v>65</v>
      </c>
      <c r="B84" s="29" t="n">
        <f aca="false">10*POWER(Parameters!$B$7,64)</f>
        <v>76676.4120614695</v>
      </c>
      <c r="C84" s="30" t="n">
        <f aca="false">$C$5*POWER(Parameters!$B$8,65)</f>
        <v>81.2728612446562</v>
      </c>
      <c r="D84" s="30" t="n">
        <f aca="false">C84*Parameters!$B$10</f>
        <v>162.545722489312</v>
      </c>
      <c r="E84" s="29" t="n">
        <f aca="false">B84/D84</f>
        <v>471.722115397476</v>
      </c>
      <c r="F84" s="29" t="n">
        <f aca="false">F83+B84</f>
        <v>587785.8258046</v>
      </c>
    </row>
    <row r="85" customFormat="false" ht="15" hidden="false" customHeight="true" outlineLevel="0" collapsed="false">
      <c r="A85" s="23" t="n">
        <v>66</v>
      </c>
      <c r="B85" s="29" t="n">
        <f aca="false">10*POWER(Parameters!$B$7,65)</f>
        <v>88177.87387069</v>
      </c>
      <c r="C85" s="30" t="n">
        <f aca="false">$C$5*POWER(Parameters!$B$8,66)</f>
        <v>86.9619615317821</v>
      </c>
      <c r="D85" s="30" t="n">
        <f aca="false">C85*Parameters!$B$10</f>
        <v>173.923923063564</v>
      </c>
      <c r="E85" s="29" t="n">
        <f aca="false">B85/D85</f>
        <v>506.991058604764</v>
      </c>
      <c r="F85" s="29" t="n">
        <f aca="false">F84+B85</f>
        <v>675963.69967529</v>
      </c>
    </row>
    <row r="86" customFormat="false" ht="15" hidden="false" customHeight="true" outlineLevel="0" collapsed="false">
      <c r="A86" s="23" t="n">
        <v>67</v>
      </c>
      <c r="B86" s="29" t="n">
        <f aca="false">10*POWER(Parameters!$B$7,66)</f>
        <v>101404.554951293</v>
      </c>
      <c r="C86" s="30" t="n">
        <f aca="false">$C$5*POWER(Parameters!$B$8,67)</f>
        <v>93.0492988390069</v>
      </c>
      <c r="D86" s="30" t="n">
        <f aca="false">C86*Parameters!$B$10</f>
        <v>186.098597678014</v>
      </c>
      <c r="E86" s="29" t="n">
        <f aca="false">B86/D86</f>
        <v>544.896932145307</v>
      </c>
      <c r="F86" s="29" t="n">
        <f aca="false">F85+B86</f>
        <v>777368.254626584</v>
      </c>
    </row>
    <row r="87" customFormat="false" ht="15" hidden="false" customHeight="true" outlineLevel="0" collapsed="false">
      <c r="A87" s="23" t="n">
        <v>68</v>
      </c>
      <c r="B87" s="29" t="n">
        <f aca="false">10*POWER(Parameters!$B$7,67)</f>
        <v>116615.238193987</v>
      </c>
      <c r="C87" s="30" t="n">
        <f aca="false">$C$5*POWER(Parameters!$B$8,68)</f>
        <v>99.5627497577374</v>
      </c>
      <c r="D87" s="30" t="n">
        <f aca="false">C87*Parameters!$B$10</f>
        <v>199.125499515475</v>
      </c>
      <c r="E87" s="29" t="n">
        <f aca="false">B87/D87</f>
        <v>585.636889688881</v>
      </c>
      <c r="F87" s="29" t="n">
        <f aca="false">F86+B87</f>
        <v>893983.492820571</v>
      </c>
    </row>
    <row r="88" customFormat="false" ht="15" hidden="false" customHeight="true" outlineLevel="0" collapsed="false">
      <c r="A88" s="23" t="n">
        <v>69</v>
      </c>
      <c r="B88" s="29" t="n">
        <f aca="false">10*POWER(Parameters!$B$7,68)</f>
        <v>134107.523923086</v>
      </c>
      <c r="C88" s="30" t="n">
        <f aca="false">$C$5*POWER(Parameters!$B$8,69)</f>
        <v>106.532142240779</v>
      </c>
      <c r="D88" s="30" t="n">
        <f aca="false">C88*Parameters!$B$10</f>
        <v>213.064284481558</v>
      </c>
      <c r="E88" s="29" t="n">
        <f aca="false">B88/D88</f>
        <v>629.422825366555</v>
      </c>
      <c r="F88" s="29" t="n">
        <f aca="false">F87+B88</f>
        <v>1028091.01674366</v>
      </c>
    </row>
    <row r="89" customFormat="false" ht="15" hidden="false" customHeight="true" outlineLevel="0" collapsed="false">
      <c r="A89" s="23" t="n">
        <v>70</v>
      </c>
      <c r="B89" s="29" t="n">
        <f aca="false">10*POWER(Parameters!$B$7,69)</f>
        <v>154223.652511548</v>
      </c>
      <c r="C89" s="30" t="n">
        <f aca="false">$C$5*POWER(Parameters!$B$8,70)</f>
        <v>113.989392197634</v>
      </c>
      <c r="D89" s="30" t="n">
        <f aca="false">C89*Parameters!$B$10</f>
        <v>227.978784395267</v>
      </c>
      <c r="E89" s="29" t="n">
        <f aca="false">B89/D89</f>
        <v>676.48247586125</v>
      </c>
      <c r="F89" s="29" t="n">
        <f aca="false">F88+B89</f>
        <v>1182314.66925521</v>
      </c>
    </row>
    <row r="90" customFormat="false" ht="15" hidden="false" customHeight="true" outlineLevel="0" collapsed="false">
      <c r="A90" s="23" t="n">
        <v>71</v>
      </c>
      <c r="B90" s="29" t="n">
        <f aca="false">10*POWER(Parameters!$B$7,70)</f>
        <v>177357.200388281</v>
      </c>
      <c r="C90" s="30" t="n">
        <f aca="false">$C$5*POWER(Parameters!$B$8,71)</f>
        <v>121.968649651468</v>
      </c>
      <c r="D90" s="30" t="n">
        <f aca="false">C90*Parameters!$B$10</f>
        <v>243.937299302936</v>
      </c>
      <c r="E90" s="29" t="n">
        <f aca="false">B90/D90</f>
        <v>727.060604897605</v>
      </c>
      <c r="F90" s="29" t="n">
        <f aca="false">F89+B90</f>
        <v>1359671.86964349</v>
      </c>
    </row>
    <row r="91" customFormat="false" ht="15" hidden="false" customHeight="true" outlineLevel="0" collapsed="false">
      <c r="A91" s="23" t="n">
        <v>72</v>
      </c>
      <c r="B91" s="29" t="n">
        <f aca="false">10*POWER(Parameters!$B$7,71)</f>
        <v>203960.780446523</v>
      </c>
      <c r="C91" s="30" t="n">
        <f aca="false">$C$5*POWER(Parameters!$B$8,72)</f>
        <v>130.506455127071</v>
      </c>
      <c r="D91" s="30" t="n">
        <f aca="false">C91*Parameters!$B$10</f>
        <v>261.012910254141</v>
      </c>
      <c r="E91" s="29" t="n">
        <f aca="false">B91/D91</f>
        <v>781.420276291819</v>
      </c>
      <c r="F91" s="29" t="n">
        <f aca="false">F90+B91</f>
        <v>1563632.65009001</v>
      </c>
    </row>
    <row r="92" customFormat="false" ht="15" hidden="false" customHeight="true" outlineLevel="0" collapsed="false">
      <c r="A92" s="23" t="n">
        <v>73</v>
      </c>
      <c r="B92" s="29" t="n">
        <f aca="false">10*POWER(Parameters!$B$7,72)</f>
        <v>234554.897513501</v>
      </c>
      <c r="C92" s="30" t="n">
        <f aca="false">$C$5*POWER(Parameters!$B$8,73)</f>
        <v>139.641906985966</v>
      </c>
      <c r="D92" s="30" t="n">
        <f aca="false">C92*Parameters!$B$10</f>
        <v>279.283813971931</v>
      </c>
      <c r="E92" s="29" t="n">
        <f aca="false">B92/D92</f>
        <v>839.844222182796</v>
      </c>
      <c r="F92" s="29" t="n">
        <f aca="false">F91+B92</f>
        <v>1798187.54760351</v>
      </c>
    </row>
    <row r="93" customFormat="false" ht="15" hidden="false" customHeight="true" outlineLevel="0" collapsed="false">
      <c r="A93" s="23" t="n">
        <v>74</v>
      </c>
      <c r="B93" s="29" t="n">
        <f aca="false">10*POWER(Parameters!$B$7,73)</f>
        <v>269738.132140526</v>
      </c>
      <c r="C93" s="30" t="n">
        <f aca="false">$C$5*POWER(Parameters!$B$8,74)</f>
        <v>149.416840474983</v>
      </c>
      <c r="D93" s="30" t="n">
        <f aca="false">C93*Parameters!$B$10</f>
        <v>298.833680949966</v>
      </c>
      <c r="E93" s="29" t="n">
        <f aca="false">B93/D93</f>
        <v>902.636313560949</v>
      </c>
      <c r="F93" s="29" t="n">
        <f aca="false">F92+B93</f>
        <v>2067925.67974404</v>
      </c>
    </row>
    <row r="94" customFormat="false" ht="15" hidden="false" customHeight="true" outlineLevel="0" collapsed="false">
      <c r="A94" s="23" t="n">
        <v>75</v>
      </c>
      <c r="B94" s="29" t="n">
        <f aca="false">10*POWER(Parameters!$B$7,74)</f>
        <v>310198.851961605</v>
      </c>
      <c r="C94" s="30" t="n">
        <f aca="false">$C$5*POWER(Parameters!$B$8,75)</f>
        <v>159.876019308232</v>
      </c>
      <c r="D94" s="30" t="n">
        <f aca="false">C94*Parameters!$B$10</f>
        <v>319.752038616464</v>
      </c>
      <c r="E94" s="29" t="n">
        <f aca="false">B94/D94</f>
        <v>970.123140743075</v>
      </c>
      <c r="F94" s="29" t="n">
        <f aca="false">F93+B94</f>
        <v>2378124.53170564</v>
      </c>
    </row>
    <row r="95" customFormat="false" ht="15" hidden="false" customHeight="true" outlineLevel="0" collapsed="false">
      <c r="A95" s="23" t="n">
        <v>76</v>
      </c>
      <c r="B95" s="29" t="n">
        <f aca="false">10*POWER(Parameters!$B$7,75)</f>
        <v>356728.679755846</v>
      </c>
      <c r="C95" s="30" t="n">
        <f aca="false">$C$5*POWER(Parameters!$B$8,76)</f>
        <v>171.067340659808</v>
      </c>
      <c r="D95" s="30" t="n">
        <f aca="false">C95*Parameters!$B$10</f>
        <v>342.134681319617</v>
      </c>
      <c r="E95" s="29" t="n">
        <f aca="false">B95/D95</f>
        <v>1042.65571201359</v>
      </c>
      <c r="F95" s="29" t="n">
        <f aca="false">F94+B95</f>
        <v>2734853.21146149</v>
      </c>
    </row>
    <row r="96" customFormat="false" ht="15" hidden="false" customHeight="true" outlineLevel="0" collapsed="false">
      <c r="A96" s="23" t="n">
        <v>77</v>
      </c>
      <c r="B96" s="29" t="n">
        <f aca="false">10*POWER(Parameters!$B$7,76)</f>
        <v>410237.981719223</v>
      </c>
      <c r="C96" s="30" t="n">
        <f aca="false">$C$5*POWER(Parameters!$B$8,77)</f>
        <v>183.042054505995</v>
      </c>
      <c r="D96" s="30" t="n">
        <f aca="false">C96*Parameters!$B$10</f>
        <v>366.08410901199</v>
      </c>
      <c r="E96" s="29" t="n">
        <f aca="false">B96/D96</f>
        <v>1120.61127926694</v>
      </c>
      <c r="F96" s="29" t="n">
        <f aca="false">F95+B96</f>
        <v>3145091.19318071</v>
      </c>
    </row>
    <row r="97" customFormat="false" ht="15" hidden="false" customHeight="true" outlineLevel="0" collapsed="false">
      <c r="A97" s="23" t="n">
        <v>78</v>
      </c>
      <c r="B97" s="29" t="n">
        <f aca="false">10*POWER(Parameters!$B$7,77)</f>
        <v>471773.678977106</v>
      </c>
      <c r="C97" s="30" t="n">
        <f aca="false">$C$5*POWER(Parameters!$B$8,78)</f>
        <v>195.854998321414</v>
      </c>
      <c r="D97" s="30" t="n">
        <f aca="false">C97*Parameters!$B$10</f>
        <v>391.709996642829</v>
      </c>
      <c r="E97" s="29" t="n">
        <f aca="false">B97/D97</f>
        <v>1204.39530014671</v>
      </c>
      <c r="F97" s="29" t="n">
        <f aca="false">F96+B97</f>
        <v>3616864.87215782</v>
      </c>
    </row>
    <row r="98" customFormat="false" ht="15" hidden="false" customHeight="true" outlineLevel="0" collapsed="false">
      <c r="A98" s="23" t="n">
        <v>79</v>
      </c>
      <c r="B98" s="29" t="n">
        <f aca="false">10*POWER(Parameters!$B$7,78)</f>
        <v>542539.730823672</v>
      </c>
      <c r="C98" s="30" t="n">
        <f aca="false">$C$5*POWER(Parameters!$B$8,79)</f>
        <v>209.564848203914</v>
      </c>
      <c r="D98" s="30" t="n">
        <f aca="false">C98*Parameters!$B$10</f>
        <v>419.129696407827</v>
      </c>
      <c r="E98" s="29" t="n">
        <f aca="false">B98/D98</f>
        <v>1294.44354688665</v>
      </c>
      <c r="F98" s="29" t="n">
        <f aca="false">F97+B98</f>
        <v>4159404.60298149</v>
      </c>
    </row>
    <row r="99" customFormat="false" ht="15" hidden="false" customHeight="true" outlineLevel="0" collapsed="false">
      <c r="A99" s="23" t="n">
        <v>80</v>
      </c>
      <c r="B99" s="29" t="n">
        <f aca="false">10*POWER(Parameters!$B$7,79)</f>
        <v>623920.690447223</v>
      </c>
      <c r="C99" s="30" t="n">
        <f aca="false">$C$5*POWER(Parameters!$B$8,80)</f>
        <v>224.234387578188</v>
      </c>
      <c r="D99" s="30" t="n">
        <f aca="false">C99*Parameters!$B$10</f>
        <v>448.468775156375</v>
      </c>
      <c r="E99" s="29" t="n">
        <f aca="false">B99/D99</f>
        <v>1391.2243728221</v>
      </c>
      <c r="F99" s="29" t="n">
        <f aca="false">F98+B99</f>
        <v>4783325.29342871</v>
      </c>
    </row>
    <row r="100" customFormat="false" ht="15" hidden="false" customHeight="true" outlineLevel="0" collapsed="false">
      <c r="A100" s="23" t="n">
        <v>81</v>
      </c>
      <c r="B100" s="29" t="n">
        <f aca="false">10*POWER(Parameters!$B$7,80)</f>
        <v>717508.794014306</v>
      </c>
      <c r="C100" s="30" t="n">
        <f aca="false">$C$5*POWER(Parameters!$B$8,81)</f>
        <v>239.930794708661</v>
      </c>
      <c r="D100" s="30" t="n">
        <f aca="false">C100*Parameters!$B$10</f>
        <v>479.861589417321</v>
      </c>
      <c r="E100" s="29" t="n">
        <f aca="false">B100/D100</f>
        <v>1495.2411483602</v>
      </c>
      <c r="F100" s="29" t="n">
        <f aca="false">F99+B100</f>
        <v>5500834.08744302</v>
      </c>
    </row>
    <row r="101" customFormat="false" ht="15" hidden="false" customHeight="true" outlineLevel="0" collapsed="false">
      <c r="A101" s="23" t="n">
        <v>82</v>
      </c>
      <c r="B101" s="29" t="n">
        <f aca="false">10*POWER(Parameters!$B$7,81)</f>
        <v>825135.113116452</v>
      </c>
      <c r="C101" s="30" t="n">
        <f aca="false">$C$5*POWER(Parameters!$B$8,82)</f>
        <v>256.725950338267</v>
      </c>
      <c r="D101" s="30" t="n">
        <f aca="false">C101*Parameters!$B$10</f>
        <v>513.451900676534</v>
      </c>
      <c r="E101" s="29" t="n">
        <f aca="false">B101/D101</f>
        <v>1607.03487907872</v>
      </c>
      <c r="F101" s="29" t="n">
        <f aca="false">F100+B101</f>
        <v>6325969.20055947</v>
      </c>
    </row>
    <row r="102" customFormat="false" ht="15" hidden="false" customHeight="true" outlineLevel="0" collapsed="false">
      <c r="A102" s="23" t="n">
        <v>83</v>
      </c>
      <c r="B102" s="29" t="n">
        <f aca="false">10*POWER(Parameters!$B$7,82)</f>
        <v>948905.38008392</v>
      </c>
      <c r="C102" s="30" t="n">
        <f aca="false">$C$5*POWER(Parameters!$B$8,83)</f>
        <v>274.696766861946</v>
      </c>
      <c r="D102" s="30" t="n">
        <f aca="false">C102*Parameters!$B$10</f>
        <v>549.393533723891</v>
      </c>
      <c r="E102" s="29" t="n">
        <f aca="false">B102/D102</f>
        <v>1727.18701957059</v>
      </c>
      <c r="F102" s="29" t="n">
        <f aca="false">F101+B102</f>
        <v>7274874.58064339</v>
      </c>
    </row>
    <row r="103" customFormat="false" ht="15" hidden="false" customHeight="true" outlineLevel="0" collapsed="false">
      <c r="A103" s="23" t="n">
        <v>84</v>
      </c>
      <c r="B103" s="29" t="n">
        <f aca="false">10*POWER(Parameters!$B$7,83)</f>
        <v>1091241.18709651</v>
      </c>
      <c r="C103" s="30" t="n">
        <f aca="false">$C$5*POWER(Parameters!$B$8,84)</f>
        <v>293.925540542282</v>
      </c>
      <c r="D103" s="30" t="n">
        <f aca="false">C103*Parameters!$B$10</f>
        <v>587.851081084564</v>
      </c>
      <c r="E103" s="29" t="n">
        <f aca="false">B103/D103</f>
        <v>1856.32249766932</v>
      </c>
      <c r="F103" s="29" t="n">
        <f aca="false">F102+B103</f>
        <v>8366115.7677399</v>
      </c>
    </row>
    <row r="104" customFormat="false" ht="15" hidden="false" customHeight="true" outlineLevel="0" collapsed="false">
      <c r="A104" s="23" t="n">
        <v>85</v>
      </c>
      <c r="B104" s="29" t="n">
        <f aca="false">10*POWER(Parameters!$B$7,84)</f>
        <v>1254927.36516098</v>
      </c>
      <c r="C104" s="30" t="n">
        <f aca="false">$C$5*POWER(Parameters!$B$8,85)</f>
        <v>314.500328380242</v>
      </c>
      <c r="D104" s="30" t="n">
        <f aca="false">C104*Parameters!$B$10</f>
        <v>629.000656760483</v>
      </c>
      <c r="E104" s="29" t="n">
        <f aca="false">B104/D104</f>
        <v>1995.11296478478</v>
      </c>
      <c r="F104" s="29" t="n">
        <f aca="false">F103+B104</f>
        <v>9621043.13290088</v>
      </c>
    </row>
    <row r="105" customFormat="false" ht="15" hidden="false" customHeight="true" outlineLevel="0" collapsed="false">
      <c r="A105" s="23" t="n">
        <v>86</v>
      </c>
      <c r="B105" s="29" t="n">
        <f aca="false">10*POWER(Parameters!$B$7,85)</f>
        <v>1443166.46993513</v>
      </c>
      <c r="C105" s="30" t="n">
        <f aca="false">$C$5*POWER(Parameters!$B$8,86)</f>
        <v>336.515351366858</v>
      </c>
      <c r="D105" s="30" t="n">
        <f aca="false">C105*Parameters!$B$10</f>
        <v>673.030702733717</v>
      </c>
      <c r="E105" s="29" t="n">
        <f aca="false">B105/D105</f>
        <v>2144.28028925467</v>
      </c>
      <c r="F105" s="29" t="n">
        <f aca="false">F104+B105</f>
        <v>11064209.602836</v>
      </c>
    </row>
    <row r="106" customFormat="false" ht="15" hidden="false" customHeight="true" outlineLevel="0" collapsed="false">
      <c r="A106" s="23" t="n">
        <v>87</v>
      </c>
      <c r="B106" s="29" t="n">
        <f aca="false">10*POWER(Parameters!$B$7,86)</f>
        <v>1659641.4404254</v>
      </c>
      <c r="C106" s="30" t="n">
        <f aca="false">$C$5*POWER(Parameters!$B$8,87)</f>
        <v>360.071425962539</v>
      </c>
      <c r="D106" s="30" t="n">
        <f aca="false">C106*Parameters!$B$10</f>
        <v>720.142851925077</v>
      </c>
      <c r="E106" s="29" t="n">
        <f aca="false">B106/D106</f>
        <v>2304.60031088119</v>
      </c>
      <c r="F106" s="29" t="n">
        <f aca="false">F105+B106</f>
        <v>12723851.0432614</v>
      </c>
    </row>
    <row r="107" customFormat="false" ht="15" hidden="false" customHeight="true" outlineLevel="0" collapsed="false">
      <c r="A107" s="23" t="n">
        <v>88</v>
      </c>
      <c r="B107" s="29" t="n">
        <f aca="false">10*POWER(Parameters!$B$7,87)</f>
        <v>1908587.65648921</v>
      </c>
      <c r="C107" s="30" t="n">
        <f aca="false">$C$5*POWER(Parameters!$B$8,88)</f>
        <v>385.276425779916</v>
      </c>
      <c r="D107" s="30" t="n">
        <f aca="false">C107*Parameters!$B$10</f>
        <v>770.552851559833</v>
      </c>
      <c r="E107" s="29" t="n">
        <f aca="false">B107/D107</f>
        <v>2476.90687618072</v>
      </c>
      <c r="F107" s="29" t="n">
        <f aca="false">F106+B107</f>
        <v>14632438.6997506</v>
      </c>
    </row>
    <row r="108" customFormat="false" ht="15" hidden="false" customHeight="true" outlineLevel="0" collapsed="false">
      <c r="A108" s="23" t="n">
        <v>89</v>
      </c>
      <c r="B108" s="29" t="n">
        <f aca="false">10*POWER(Parameters!$B$7,88)</f>
        <v>2194875.80496259</v>
      </c>
      <c r="C108" s="30" t="n">
        <f aca="false">$C$5*POWER(Parameters!$B$8,89)</f>
        <v>412.24577558451</v>
      </c>
      <c r="D108" s="30" t="n">
        <f aca="false">C108*Parameters!$B$10</f>
        <v>824.491551169021</v>
      </c>
      <c r="E108" s="29" t="n">
        <f aca="false">B108/D108</f>
        <v>2662.09617533442</v>
      </c>
      <c r="F108" s="29" t="n">
        <f aca="false">F107+B108</f>
        <v>16827314.5047132</v>
      </c>
    </row>
    <row r="109" customFormat="false" ht="15" hidden="false" customHeight="true" outlineLevel="0" collapsed="false">
      <c r="A109" s="23" t="n">
        <v>90</v>
      </c>
      <c r="B109" s="29" t="n">
        <f aca="false">10*POWER(Parameters!$B$7,89)</f>
        <v>2524107.17570698</v>
      </c>
      <c r="C109" s="30" t="n">
        <f aca="false">$C$5*POWER(Parameters!$B$8,90)</f>
        <v>441.102979875426</v>
      </c>
      <c r="D109" s="30" t="n">
        <f aca="false">C109*Parameters!$B$10</f>
        <v>882.205959750853</v>
      </c>
      <c r="E109" s="29" t="n">
        <f aca="false">B109/D109</f>
        <v>2861.1314033968</v>
      </c>
      <c r="F109" s="29" t="n">
        <f aca="false">F108+B109</f>
        <v>19351421.6804202</v>
      </c>
    </row>
    <row r="110" customFormat="false" ht="15" hidden="false" customHeight="true" outlineLevel="0" collapsed="false">
      <c r="A110" s="23" t="n">
        <v>91</v>
      </c>
      <c r="B110" s="29" t="n">
        <f aca="false">10*POWER(Parameters!$B$7,90)</f>
        <v>2902723.25206303</v>
      </c>
      <c r="C110" s="30" t="n">
        <f aca="false">$C$5*POWER(Parameters!$B$8,91)</f>
        <v>471.980188466706</v>
      </c>
      <c r="D110" s="30" t="n">
        <f aca="false">C110*Parameters!$B$10</f>
        <v>943.960376933412</v>
      </c>
      <c r="E110" s="29" t="n">
        <f aca="false">B110/D110</f>
        <v>3075.04777000591</v>
      </c>
      <c r="F110" s="29" t="n">
        <f aca="false">F109+B110</f>
        <v>22254144.9324832</v>
      </c>
    </row>
    <row r="111" customFormat="false" ht="15" hidden="false" customHeight="true" outlineLevel="0" collapsed="false">
      <c r="A111" s="23" t="n">
        <v>92</v>
      </c>
      <c r="B111" s="29" t="n">
        <f aca="false">10*POWER(Parameters!$B$7,91)</f>
        <v>3338131.73987248</v>
      </c>
      <c r="C111" s="30" t="n">
        <f aca="false">$C$5*POWER(Parameters!$B$8,92)</f>
        <v>505.018801659376</v>
      </c>
      <c r="D111" s="30" t="n">
        <f aca="false">C111*Parameters!$B$10</f>
        <v>1010.03760331875</v>
      </c>
      <c r="E111" s="29" t="n">
        <f aca="false">B111/D111</f>
        <v>3304.95788365121</v>
      </c>
      <c r="F111" s="29" t="n">
        <f aca="false">F110+B111</f>
        <v>25592276.6723557</v>
      </c>
    </row>
    <row r="112" customFormat="false" ht="15" hidden="false" customHeight="true" outlineLevel="0" collapsed="false">
      <c r="A112" s="23" t="n">
        <v>93</v>
      </c>
      <c r="B112" s="29" t="n">
        <f aca="false">10*POWER(Parameters!$B$7,92)</f>
        <v>3838851.50085335</v>
      </c>
      <c r="C112" s="30" t="n">
        <f aca="false">$C$5*POWER(Parameters!$B$8,93)</f>
        <v>540.370117775532</v>
      </c>
      <c r="D112" s="30" t="n">
        <f aca="false">C112*Parameters!$B$10</f>
        <v>1080.74023555106</v>
      </c>
      <c r="E112" s="29" t="n">
        <f aca="false">B112/D112</f>
        <v>3552.05753850364</v>
      </c>
      <c r="F112" s="29" t="n">
        <f aca="false">F111+B112</f>
        <v>29431128.1732091</v>
      </c>
    </row>
    <row r="113" customFormat="false" ht="15" hidden="false" customHeight="true" outlineLevel="0" collapsed="false">
      <c r="A113" s="23" t="n">
        <v>94</v>
      </c>
      <c r="B113" s="29" t="n">
        <f aca="false">10*POWER(Parameters!$B$7,93)</f>
        <v>4414679.22598136</v>
      </c>
      <c r="C113" s="30" t="n">
        <f aca="false">$C$5*POWER(Parameters!$B$8,94)</f>
        <v>578.196026019819</v>
      </c>
      <c r="D113" s="30" t="n">
        <f aca="false">C113*Parameters!$B$10</f>
        <v>1156.39205203964</v>
      </c>
      <c r="E113" s="29" t="n">
        <f aca="false">B113/D113</f>
        <v>3817.63193390578</v>
      </c>
      <c r="F113" s="29" t="n">
        <f aca="false">F112+B113</f>
        <v>33845807.3991904</v>
      </c>
    </row>
    <row r="114" customFormat="false" ht="15" hidden="false" customHeight="true" outlineLevel="0" collapsed="false">
      <c r="A114" s="23" t="n">
        <v>95</v>
      </c>
      <c r="B114" s="29" t="n">
        <f aca="false">10*POWER(Parameters!$B$7,94)</f>
        <v>5076881.10987856</v>
      </c>
      <c r="C114" s="30" t="n">
        <f aca="false">$C$5*POWER(Parameters!$B$8,95)</f>
        <v>618.669747841207</v>
      </c>
      <c r="D114" s="30" t="n">
        <f aca="false">C114*Parameters!$B$10</f>
        <v>1237.33949568241</v>
      </c>
      <c r="E114" s="29" t="n">
        <f aca="false">B114/D114</f>
        <v>4103.0623588707</v>
      </c>
      <c r="F114" s="29" t="n">
        <f aca="false">F113+B114</f>
        <v>38922688.509069</v>
      </c>
    </row>
    <row r="115" customFormat="false" ht="15" hidden="false" customHeight="true" outlineLevel="0" collapsed="false">
      <c r="A115" s="23" t="n">
        <v>96</v>
      </c>
      <c r="B115" s="29" t="n">
        <f aca="false">10*POWER(Parameters!$B$7,95)</f>
        <v>5838413.27636034</v>
      </c>
      <c r="C115" s="30" t="n">
        <f aca="false">$C$5*POWER(Parameters!$B$8,96)</f>
        <v>661.976630190091</v>
      </c>
      <c r="D115" s="30" t="n">
        <f aca="false">C115*Parameters!$B$10</f>
        <v>1323.95326038018</v>
      </c>
      <c r="E115" s="29" t="n">
        <f aca="false">B115/D115</f>
        <v>4409.83337635636</v>
      </c>
      <c r="F115" s="29" t="n">
        <f aca="false">F114+B115</f>
        <v>44761101.7854293</v>
      </c>
    </row>
    <row r="116" customFormat="false" ht="15" hidden="false" customHeight="true" outlineLevel="0" collapsed="false">
      <c r="A116" s="23" t="n">
        <v>97</v>
      </c>
      <c r="B116" s="29" t="n">
        <f aca="false">10*POWER(Parameters!$B$7,96)</f>
        <v>6714175.26781439</v>
      </c>
      <c r="C116" s="30" t="n">
        <f aca="false">$C$5*POWER(Parameters!$B$8,97)</f>
        <v>708.314994303397</v>
      </c>
      <c r="D116" s="30" t="n">
        <f aca="false">C116*Parameters!$B$10</f>
        <v>1416.62998860679</v>
      </c>
      <c r="E116" s="29" t="n">
        <f aca="false">B116/D116</f>
        <v>4739.54054468206</v>
      </c>
      <c r="F116" s="29" t="n">
        <f aca="false">F115+B116</f>
        <v>51475277.0532437</v>
      </c>
    </row>
    <row r="117" customFormat="false" ht="15" hidden="false" customHeight="true" outlineLevel="0" collapsed="false">
      <c r="A117" s="23" t="n">
        <v>98</v>
      </c>
      <c r="B117" s="29" t="n">
        <f aca="false">10*POWER(Parameters!$B$7,97)</f>
        <v>7721301.55798655</v>
      </c>
      <c r="C117" s="30" t="n">
        <f aca="false">$C$5*POWER(Parameters!$B$8,98)</f>
        <v>757.897043904635</v>
      </c>
      <c r="D117" s="30" t="n">
        <f aca="false">C117*Parameters!$B$10</f>
        <v>1515.79408780927</v>
      </c>
      <c r="E117" s="29" t="n">
        <f aca="false">B117/D117</f>
        <v>5093.89871624708</v>
      </c>
      <c r="F117" s="29" t="n">
        <f aca="false">F116+B117</f>
        <v>59196578.6112303</v>
      </c>
    </row>
    <row r="118" customFormat="false" ht="15" hidden="false" customHeight="true" outlineLevel="0" collapsed="false">
      <c r="A118" s="23" t="n">
        <v>99</v>
      </c>
      <c r="B118" s="29" t="n">
        <f aca="false">10*POWER(Parameters!$B$7,98)</f>
        <v>8879496.79168453</v>
      </c>
      <c r="C118" s="30" t="n">
        <f aca="false">$C$5*POWER(Parameters!$B$8,99)</f>
        <v>810.94983697796</v>
      </c>
      <c r="D118" s="30" t="n">
        <f aca="false">C118*Parameters!$B$10</f>
        <v>1621.89967395592</v>
      </c>
      <c r="E118" s="29" t="n">
        <f aca="false">B118/D118</f>
        <v>5474.75095671415</v>
      </c>
      <c r="F118" s="29" t="n">
        <f aca="false">F117+B118</f>
        <v>68076075.4029148</v>
      </c>
    </row>
    <row r="119" customFormat="false" ht="15" hidden="false" customHeight="true" outlineLevel="0" collapsed="false">
      <c r="A119" s="23" t="n">
        <v>100</v>
      </c>
      <c r="B119" s="29" t="n">
        <f aca="false">10*POWER(Parameters!$B$7,99)</f>
        <v>10211421.3104372</v>
      </c>
      <c r="C119" s="30" t="n">
        <f aca="false">$C$5*POWER(Parameters!$B$8,100)</f>
        <v>867.716325566417</v>
      </c>
      <c r="D119" s="30" t="n">
        <f aca="false">C119*Parameters!$B$10</f>
        <v>1735.43265113283</v>
      </c>
      <c r="E119" s="29" t="n">
        <f aca="false">B119/D119</f>
        <v>5884.07813104791</v>
      </c>
      <c r="F119" s="29" t="n">
        <f aca="false">F118+B119</f>
        <v>78287496.713352</v>
      </c>
    </row>
  </sheetData>
  <mergeCells count="4">
    <mergeCell ref="A1:F1"/>
    <mergeCell ref="A2:F2"/>
    <mergeCell ref="A17:F17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1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25" t="s">
        <v>168</v>
      </c>
      <c r="B1" s="25"/>
      <c r="C1" s="25"/>
      <c r="D1" s="25"/>
      <c r="E1" s="25"/>
      <c r="F1" s="25"/>
      <c r="G1" s="25"/>
      <c r="H1" s="25"/>
    </row>
    <row r="2" customFormat="false" ht="15" hidden="false" customHeight="true" outlineLevel="0" collapsed="false">
      <c r="A2" s="19" t="s">
        <v>169</v>
      </c>
      <c r="B2" s="19"/>
      <c r="C2" s="19"/>
      <c r="D2" s="19"/>
      <c r="E2" s="19"/>
      <c r="F2" s="19"/>
      <c r="G2" s="19"/>
      <c r="H2" s="19"/>
    </row>
    <row r="4" customFormat="false" ht="15" hidden="false" customHeight="true" outlineLevel="0" collapsed="false">
      <c r="A4" s="26" t="s">
        <v>170</v>
      </c>
      <c r="B4" s="26" t="s">
        <v>171</v>
      </c>
      <c r="C4" s="26" t="s">
        <v>172</v>
      </c>
      <c r="D4" s="26" t="s">
        <v>173</v>
      </c>
      <c r="E4" s="26" t="s">
        <v>174</v>
      </c>
      <c r="F4" s="26" t="s">
        <v>175</v>
      </c>
      <c r="G4" s="26" t="s">
        <v>176</v>
      </c>
      <c r="H4" s="26" t="s">
        <v>136</v>
      </c>
    </row>
    <row r="5" customFormat="false" ht="15" hidden="false" customHeight="true" outlineLevel="0" collapsed="false">
      <c r="A5" s="23" t="n">
        <v>1</v>
      </c>
      <c r="B5" s="31" t="n">
        <f aca="false">Parameters!$B$37*(Parameters!$B$38/24)</f>
        <v>1.66666666666667</v>
      </c>
      <c r="C5" s="31" t="n">
        <f aca="false">MIN(60-B5,Parameters!$B$30*60/24)</f>
        <v>20</v>
      </c>
      <c r="D5" s="30" t="n">
        <f aca="false">0.5*POWER(Parameters!$B$42,1)*Parameters!$B$40</f>
        <v>0.4375</v>
      </c>
      <c r="E5" s="29" t="n">
        <f aca="false">D5*(B5*60 + C5*60*Parameters!$B$31)</f>
        <v>306.25</v>
      </c>
      <c r="F5" s="29" t="n">
        <f aca="false">E5+Parameters!$B$6</f>
        <v>356.25</v>
      </c>
      <c r="G5" s="32" t="n">
        <f aca="false">IF(F5&gt;=Shop_Categories!$D$14,10,IF(F5&gt;=Shop_Categories!$D$13,9,IF(F5&gt;=Shop_Categories!$D$12,8,IF(F5&gt;=Shop_Categories!$D$11,7,IF(F5&gt;=Shop_Categories!$D$10,6,IF(F5&gt;=Shop_Categories!$D$9,5,IF(F5&gt;=Shop_Categories!$D$8,4,IF(F5&gt;=Shop_Categories!$D$7,3,IF(F5&gt;=Shop_Categories!$D$6,2,1)))))))))</f>
        <v>1</v>
      </c>
      <c r="H5" s="23" t="s">
        <v>177</v>
      </c>
    </row>
    <row r="6" customFormat="false" ht="15" hidden="false" customHeight="true" outlineLevel="0" collapsed="false">
      <c r="A6" s="23" t="n">
        <v>2</v>
      </c>
      <c r="B6" s="31" t="n">
        <f aca="false">Parameters!$B$37*(Parameters!$B$38/24)</f>
        <v>1.66666666666667</v>
      </c>
      <c r="C6" s="31" t="n">
        <f aca="false">MIN(60-B6,Parameters!$B$30*60/24)</f>
        <v>20</v>
      </c>
      <c r="D6" s="30" t="n">
        <f aca="false">0.5*POWER(Parameters!$B$42,2)*Parameters!$B$40</f>
        <v>0.546875</v>
      </c>
      <c r="E6" s="29" t="n">
        <f aca="false">D6*(B6*60 + C6*60*Parameters!$B$31)</f>
        <v>382.8125</v>
      </c>
      <c r="F6" s="29" t="n">
        <f aca="false">F5+E6</f>
        <v>739.0625</v>
      </c>
      <c r="G6" s="32" t="n">
        <f aca="false">IF(F6&gt;=Shop_Categories!$D$14,10,IF(F6&gt;=Shop_Categories!$D$13,9,IF(F6&gt;=Shop_Categories!$D$12,8,IF(F6&gt;=Shop_Categories!$D$11,7,IF(F6&gt;=Shop_Categories!$D$10,6,IF(F6&gt;=Shop_Categories!$D$9,5,IF(F6&gt;=Shop_Categories!$D$8,4,IF(F6&gt;=Shop_Categories!$D$7,3,IF(F6&gt;=Shop_Categories!$D$6,2,1)))))))))</f>
        <v>1</v>
      </c>
      <c r="H6" s="23" t="s">
        <v>177</v>
      </c>
    </row>
    <row r="7" customFormat="false" ht="15" hidden="false" customHeight="true" outlineLevel="0" collapsed="false">
      <c r="A7" s="23" t="n">
        <v>3</v>
      </c>
      <c r="B7" s="31" t="n">
        <f aca="false">Parameters!$B$37*(Parameters!$B$38/24)</f>
        <v>1.66666666666667</v>
      </c>
      <c r="C7" s="31" t="n">
        <f aca="false">MIN(60-B7,Parameters!$B$30*60/24)</f>
        <v>20</v>
      </c>
      <c r="D7" s="30" t="n">
        <f aca="false">0.5*POWER(Parameters!$B$42,3)*Parameters!$B$40</f>
        <v>0.68359375</v>
      </c>
      <c r="E7" s="29" t="n">
        <f aca="false">D7*(B7*60 + C7*60*Parameters!$B$31)</f>
        <v>478.515625</v>
      </c>
      <c r="F7" s="29" t="n">
        <f aca="false">F6+E7</f>
        <v>1217.578125</v>
      </c>
      <c r="G7" s="32" t="n">
        <f aca="false">IF(F7&gt;=Shop_Categories!$D$14,10,IF(F7&gt;=Shop_Categories!$D$13,9,IF(F7&gt;=Shop_Categories!$D$12,8,IF(F7&gt;=Shop_Categories!$D$11,7,IF(F7&gt;=Shop_Categories!$D$10,6,IF(F7&gt;=Shop_Categories!$D$9,5,IF(F7&gt;=Shop_Categories!$D$8,4,IF(F7&gt;=Shop_Categories!$D$7,3,IF(F7&gt;=Shop_Categories!$D$6,2,1)))))))))</f>
        <v>2</v>
      </c>
      <c r="H7" s="23" t="s">
        <v>177</v>
      </c>
    </row>
    <row r="8" customFormat="false" ht="15" hidden="false" customHeight="true" outlineLevel="0" collapsed="false">
      <c r="A8" s="23" t="n">
        <v>4</v>
      </c>
      <c r="B8" s="31" t="n">
        <f aca="false">Parameters!$B$37*(Parameters!$B$38/24)</f>
        <v>1.66666666666667</v>
      </c>
      <c r="C8" s="31" t="n">
        <f aca="false">MIN(60-B8,Parameters!$B$30*60/24)</f>
        <v>20</v>
      </c>
      <c r="D8" s="30" t="n">
        <f aca="false">0.5*POWER(Parameters!$B$42,4)*Parameters!$B$40</f>
        <v>0.8544921875</v>
      </c>
      <c r="E8" s="29" t="n">
        <f aca="false">D8*(B8*60 + C8*60*Parameters!$B$31)</f>
        <v>598.14453125</v>
      </c>
      <c r="F8" s="29" t="n">
        <f aca="false">F7+E8</f>
        <v>1815.72265625</v>
      </c>
      <c r="G8" s="32" t="n">
        <f aca="false">IF(F8&gt;=Shop_Categories!$D$14,10,IF(F8&gt;=Shop_Categories!$D$13,9,IF(F8&gt;=Shop_Categories!$D$12,8,IF(F8&gt;=Shop_Categories!$D$11,7,IF(F8&gt;=Shop_Categories!$D$10,6,IF(F8&gt;=Shop_Categories!$D$9,5,IF(F8&gt;=Shop_Categories!$D$8,4,IF(F8&gt;=Shop_Categories!$D$7,3,IF(F8&gt;=Shop_Categories!$D$6,2,1)))))))))</f>
        <v>2</v>
      </c>
      <c r="H8" s="23" t="s">
        <v>177</v>
      </c>
    </row>
    <row r="9" customFormat="false" ht="15" hidden="false" customHeight="true" outlineLevel="0" collapsed="false">
      <c r="A9" s="23" t="n">
        <v>5</v>
      </c>
      <c r="B9" s="31" t="n">
        <f aca="false">Parameters!$B$37*(Parameters!$B$38/24)</f>
        <v>1.66666666666667</v>
      </c>
      <c r="C9" s="31" t="n">
        <f aca="false">MIN(60-B9,Parameters!$B$30*60/24)</f>
        <v>20</v>
      </c>
      <c r="D9" s="30" t="n">
        <f aca="false">0.5*POWER(Parameters!$B$42,5)*Parameters!$B$40</f>
        <v>1.068115234375</v>
      </c>
      <c r="E9" s="29" t="n">
        <f aca="false">D9*(B9*60 + C9*60*Parameters!$B$31)</f>
        <v>747.6806640625</v>
      </c>
      <c r="F9" s="29" t="n">
        <f aca="false">F8+E9</f>
        <v>2563.4033203125</v>
      </c>
      <c r="G9" s="32" t="n">
        <f aca="false">IF(F9&gt;=Shop_Categories!$D$14,10,IF(F9&gt;=Shop_Categories!$D$13,9,IF(F9&gt;=Shop_Categories!$D$12,8,IF(F9&gt;=Shop_Categories!$D$11,7,IF(F9&gt;=Shop_Categories!$D$10,6,IF(F9&gt;=Shop_Categories!$D$9,5,IF(F9&gt;=Shop_Categories!$D$8,4,IF(F9&gt;=Shop_Categories!$D$7,3,IF(F9&gt;=Shop_Categories!$D$6,2,1)))))))))</f>
        <v>2</v>
      </c>
      <c r="H9" s="23" t="s">
        <v>177</v>
      </c>
    </row>
    <row r="10" customFormat="false" ht="15" hidden="false" customHeight="true" outlineLevel="0" collapsed="false">
      <c r="A10" s="23" t="n">
        <v>6</v>
      </c>
      <c r="B10" s="31" t="n">
        <f aca="false">Parameters!$B$37*(Parameters!$B$38/24)</f>
        <v>1.66666666666667</v>
      </c>
      <c r="C10" s="31" t="n">
        <f aca="false">MIN(60-B10,Parameters!$B$30*60/24)</f>
        <v>20</v>
      </c>
      <c r="D10" s="30" t="n">
        <f aca="false">0.5*POWER(Parameters!$B$42,6)*Parameters!$B$40</f>
        <v>1.33514404296875</v>
      </c>
      <c r="E10" s="29" t="n">
        <f aca="false">D10*(B10*60 + C10*60*Parameters!$B$31)</f>
        <v>934.600830078125</v>
      </c>
      <c r="F10" s="29" t="n">
        <f aca="false">F9+E10</f>
        <v>3498.00415039063</v>
      </c>
      <c r="G10" s="32" t="n">
        <f aca="false">IF(F10&gt;=Shop_Categories!$D$14,10,IF(F10&gt;=Shop_Categories!$D$13,9,IF(F10&gt;=Shop_Categories!$D$12,8,IF(F10&gt;=Shop_Categories!$D$11,7,IF(F10&gt;=Shop_Categories!$D$10,6,IF(F10&gt;=Shop_Categories!$D$9,5,IF(F10&gt;=Shop_Categories!$D$8,4,IF(F10&gt;=Shop_Categories!$D$7,3,IF(F10&gt;=Shop_Categories!$D$6,2,1)))))))))</f>
        <v>2</v>
      </c>
      <c r="H10" s="23" t="s">
        <v>178</v>
      </c>
    </row>
    <row r="11" customFormat="false" ht="15" hidden="false" customHeight="true" outlineLevel="0" collapsed="false">
      <c r="A11" s="23" t="n">
        <v>7</v>
      </c>
      <c r="B11" s="31" t="n">
        <f aca="false">Parameters!$B$37*(Parameters!$B$38/24)</f>
        <v>1.66666666666667</v>
      </c>
      <c r="C11" s="31" t="n">
        <f aca="false">MIN(60-B11,Parameters!$B$30*60/24)</f>
        <v>20</v>
      </c>
      <c r="D11" s="30" t="n">
        <f aca="false">0.5*POWER(Parameters!$B$42,7)*Parameters!$B$40</f>
        <v>1.66893005371094</v>
      </c>
      <c r="E11" s="29" t="n">
        <f aca="false">D11*(B11*60 + C11*60*Parameters!$B$31)</f>
        <v>1168.25103759766</v>
      </c>
      <c r="F11" s="29" t="n">
        <f aca="false">F10+E11</f>
        <v>4666.25518798828</v>
      </c>
      <c r="G11" s="32" t="n">
        <f aca="false">IF(F11&gt;=Shop_Categories!$D$14,10,IF(F11&gt;=Shop_Categories!$D$13,9,IF(F11&gt;=Shop_Categories!$D$12,8,IF(F11&gt;=Shop_Categories!$D$11,7,IF(F11&gt;=Shop_Categories!$D$10,6,IF(F11&gt;=Shop_Categories!$D$9,5,IF(F11&gt;=Shop_Categories!$D$8,4,IF(F11&gt;=Shop_Categories!$D$7,3,IF(F11&gt;=Shop_Categories!$D$6,2,1)))))))))</f>
        <v>2</v>
      </c>
      <c r="H11" s="23" t="s">
        <v>178</v>
      </c>
    </row>
    <row r="12" customFormat="false" ht="15" hidden="false" customHeight="true" outlineLevel="0" collapsed="false">
      <c r="A12" s="23" t="n">
        <v>8</v>
      </c>
      <c r="B12" s="31" t="n">
        <f aca="false">Parameters!$B$37*(Parameters!$B$38/24)</f>
        <v>1.66666666666667</v>
      </c>
      <c r="C12" s="31" t="n">
        <f aca="false">MIN(60-B12,Parameters!$B$30*60/24)</f>
        <v>20</v>
      </c>
      <c r="D12" s="30" t="n">
        <f aca="false">0.5*POWER(Parameters!$B$42,8)*Parameters!$B$40</f>
        <v>2.08616256713867</v>
      </c>
      <c r="E12" s="29" t="n">
        <f aca="false">D12*(B12*60 + C12*60*Parameters!$B$31)</f>
        <v>1460.31379699707</v>
      </c>
      <c r="F12" s="29" t="n">
        <f aca="false">F11+E12</f>
        <v>6126.56898498535</v>
      </c>
      <c r="G12" s="32" t="n">
        <f aca="false">IF(F12&gt;=Shop_Categories!$D$14,10,IF(F12&gt;=Shop_Categories!$D$13,9,IF(F12&gt;=Shop_Categories!$D$12,8,IF(F12&gt;=Shop_Categories!$D$11,7,IF(F12&gt;=Shop_Categories!$D$10,6,IF(F12&gt;=Shop_Categories!$D$9,5,IF(F12&gt;=Shop_Categories!$D$8,4,IF(F12&gt;=Shop_Categories!$D$7,3,IF(F12&gt;=Shop_Categories!$D$6,2,1)))))))))</f>
        <v>2</v>
      </c>
      <c r="H12" s="23" t="s">
        <v>178</v>
      </c>
    </row>
    <row r="13" customFormat="false" ht="15" hidden="false" customHeight="true" outlineLevel="0" collapsed="false">
      <c r="A13" s="23" t="n">
        <v>9</v>
      </c>
      <c r="B13" s="31" t="n">
        <f aca="false">Parameters!$B$37*(Parameters!$B$38/24)</f>
        <v>1.66666666666667</v>
      </c>
      <c r="C13" s="31" t="n">
        <f aca="false">MIN(60-B13,Parameters!$B$30*60/24)</f>
        <v>20</v>
      </c>
      <c r="D13" s="30" t="n">
        <f aca="false">0.5*POWER(Parameters!$B$42,9)*Parameters!$B$40</f>
        <v>2.60770320892334</v>
      </c>
      <c r="E13" s="29" t="n">
        <f aca="false">D13*(B13*60 + C13*60*Parameters!$B$31)</f>
        <v>1825.39224624634</v>
      </c>
      <c r="F13" s="29" t="n">
        <f aca="false">F12+E13</f>
        <v>7951.96123123169</v>
      </c>
      <c r="G13" s="32" t="n">
        <f aca="false">IF(F13&gt;=Shop_Categories!$D$14,10,IF(F13&gt;=Shop_Categories!$D$13,9,IF(F13&gt;=Shop_Categories!$D$12,8,IF(F13&gt;=Shop_Categories!$D$11,7,IF(F13&gt;=Shop_Categories!$D$10,6,IF(F13&gt;=Shop_Categories!$D$9,5,IF(F13&gt;=Shop_Categories!$D$8,4,IF(F13&gt;=Shop_Categories!$D$7,3,IF(F13&gt;=Shop_Categories!$D$6,2,1)))))))))</f>
        <v>2</v>
      </c>
      <c r="H13" s="23" t="s">
        <v>178</v>
      </c>
    </row>
    <row r="14" customFormat="false" ht="15" hidden="false" customHeight="true" outlineLevel="0" collapsed="false">
      <c r="A14" s="23" t="n">
        <v>10</v>
      </c>
      <c r="B14" s="31" t="n">
        <f aca="false">Parameters!$B$37*(Parameters!$B$38/24)</f>
        <v>1.66666666666667</v>
      </c>
      <c r="C14" s="31" t="n">
        <f aca="false">MIN(60-B14,Parameters!$B$30*60/24)</f>
        <v>20</v>
      </c>
      <c r="D14" s="30" t="n">
        <f aca="false">0.5*POWER(Parameters!$B$42,10)*Parameters!$B$40</f>
        <v>3.25962901115418</v>
      </c>
      <c r="E14" s="29" t="n">
        <f aca="false">D14*(B14*60 + C14*60*Parameters!$B$31)</f>
        <v>2281.74030780792</v>
      </c>
      <c r="F14" s="29" t="n">
        <f aca="false">F13+E14</f>
        <v>10233.7015390396</v>
      </c>
      <c r="G14" s="32" t="n">
        <f aca="false">IF(F14&gt;=Shop_Categories!$D$14,10,IF(F14&gt;=Shop_Categories!$D$13,9,IF(F14&gt;=Shop_Categories!$D$12,8,IF(F14&gt;=Shop_Categories!$D$11,7,IF(F14&gt;=Shop_Categories!$D$10,6,IF(F14&gt;=Shop_Categories!$D$9,5,IF(F14&gt;=Shop_Categories!$D$8,4,IF(F14&gt;=Shop_Categories!$D$7,3,IF(F14&gt;=Shop_Categories!$D$6,2,1)))))))))</f>
        <v>2</v>
      </c>
      <c r="H14" s="23" t="s">
        <v>178</v>
      </c>
    </row>
    <row r="15" customFormat="false" ht="15" hidden="false" customHeight="true" outlineLevel="0" collapsed="false">
      <c r="A15" s="23" t="n">
        <v>11</v>
      </c>
      <c r="B15" s="31" t="n">
        <f aca="false">Parameters!$B$37*(Parameters!$B$38/24)</f>
        <v>1.66666666666667</v>
      </c>
      <c r="C15" s="31" t="n">
        <f aca="false">MIN(60-B15,Parameters!$B$30*60/24)</f>
        <v>20</v>
      </c>
      <c r="D15" s="30" t="n">
        <f aca="false">0.5*POWER(Parameters!$B$42,11)*Parameters!$B$40</f>
        <v>4.07453626394272</v>
      </c>
      <c r="E15" s="29" t="n">
        <f aca="false">D15*(B15*60 + C15*60*Parameters!$B$31)</f>
        <v>2852.1753847599</v>
      </c>
      <c r="F15" s="29" t="n">
        <f aca="false">F14+E15</f>
        <v>13085.8769237995</v>
      </c>
      <c r="G15" s="32" t="n">
        <f aca="false">IF(F15&gt;=Shop_Categories!$D$14,10,IF(F15&gt;=Shop_Categories!$D$13,9,IF(F15&gt;=Shop_Categories!$D$12,8,IF(F15&gt;=Shop_Categories!$D$11,7,IF(F15&gt;=Shop_Categories!$D$10,6,IF(F15&gt;=Shop_Categories!$D$9,5,IF(F15&gt;=Shop_Categories!$D$8,4,IF(F15&gt;=Shop_Categories!$D$7,3,IF(F15&gt;=Shop_Categories!$D$6,2,1)))))))))</f>
        <v>2</v>
      </c>
      <c r="H15" s="23" t="s">
        <v>178</v>
      </c>
    </row>
    <row r="16" customFormat="false" ht="15" hidden="false" customHeight="true" outlineLevel="0" collapsed="false">
      <c r="A16" s="23" t="n">
        <v>12</v>
      </c>
      <c r="B16" s="31" t="n">
        <f aca="false">Parameters!$B$37*(Parameters!$B$38/24)</f>
        <v>1.66666666666667</v>
      </c>
      <c r="C16" s="31" t="n">
        <f aca="false">MIN(60-B16,Parameters!$B$30*60/24)</f>
        <v>20</v>
      </c>
      <c r="D16" s="30" t="n">
        <f aca="false">0.5*POWER(Parameters!$B$42,12)*Parameters!$B$40</f>
        <v>5.0931703299284</v>
      </c>
      <c r="E16" s="29" t="n">
        <f aca="false">D16*(B16*60 + C16*60*Parameters!$B$31)</f>
        <v>3565.21923094988</v>
      </c>
      <c r="F16" s="29" t="n">
        <f aca="false">F15+E16</f>
        <v>16651.0961547494</v>
      </c>
      <c r="G16" s="32" t="n">
        <f aca="false">IF(F16&gt;=Shop_Categories!$D$14,10,IF(F16&gt;=Shop_Categories!$D$13,9,IF(F16&gt;=Shop_Categories!$D$12,8,IF(F16&gt;=Shop_Categories!$D$11,7,IF(F16&gt;=Shop_Categories!$D$10,6,IF(F16&gt;=Shop_Categories!$D$9,5,IF(F16&gt;=Shop_Categories!$D$8,4,IF(F16&gt;=Shop_Categories!$D$7,3,IF(F16&gt;=Shop_Categories!$D$6,2,1)))))))))</f>
        <v>2</v>
      </c>
      <c r="H16" s="23" t="s">
        <v>178</v>
      </c>
    </row>
    <row r="17" customFormat="false" ht="15" hidden="false" customHeight="true" outlineLevel="0" collapsed="false">
      <c r="A17" s="23" t="n">
        <v>13</v>
      </c>
      <c r="B17" s="31" t="n">
        <f aca="false">Parameters!$B$37*(Parameters!$B$38/24)</f>
        <v>1.66666666666667</v>
      </c>
      <c r="C17" s="31" t="n">
        <f aca="false">MIN(60-B17,Parameters!$B$30*60/24)</f>
        <v>20</v>
      </c>
      <c r="D17" s="30" t="n">
        <f aca="false">0.5*POWER(Parameters!$B$42,13)*Parameters!$B$40</f>
        <v>6.3664629124105</v>
      </c>
      <c r="E17" s="29" t="n">
        <f aca="false">D17*(B17*60 + C17*60*Parameters!$B$31)</f>
        <v>4456.52403868735</v>
      </c>
      <c r="F17" s="29" t="n">
        <f aca="false">F16+E17</f>
        <v>21107.6201934367</v>
      </c>
      <c r="G17" s="32" t="n">
        <f aca="false">IF(F17&gt;=Shop_Categories!$D$14,10,IF(F17&gt;=Shop_Categories!$D$13,9,IF(F17&gt;=Shop_Categories!$D$12,8,IF(F17&gt;=Shop_Categories!$D$11,7,IF(F17&gt;=Shop_Categories!$D$10,6,IF(F17&gt;=Shop_Categories!$D$9,5,IF(F17&gt;=Shop_Categories!$D$8,4,IF(F17&gt;=Shop_Categories!$D$7,3,IF(F17&gt;=Shop_Categories!$D$6,2,1)))))))))</f>
        <v>2</v>
      </c>
      <c r="H17" s="23" t="s">
        <v>178</v>
      </c>
    </row>
    <row r="18" customFormat="false" ht="15" hidden="false" customHeight="true" outlineLevel="0" collapsed="false">
      <c r="A18" s="23" t="n">
        <v>14</v>
      </c>
      <c r="B18" s="31" t="n">
        <f aca="false">Parameters!$B$37*(Parameters!$B$38/24)</f>
        <v>1.66666666666667</v>
      </c>
      <c r="C18" s="31" t="n">
        <f aca="false">MIN(60-B18,Parameters!$B$30*60/24)</f>
        <v>20</v>
      </c>
      <c r="D18" s="30" t="n">
        <f aca="false">0.5*POWER(Parameters!$B$42,14)*Parameters!$B$40</f>
        <v>7.95807864051312</v>
      </c>
      <c r="E18" s="29" t="n">
        <f aca="false">D18*(B18*60 + C18*60*Parameters!$B$31)</f>
        <v>5570.65504835919</v>
      </c>
      <c r="F18" s="29" t="n">
        <f aca="false">F17+E18</f>
        <v>26678.2752417959</v>
      </c>
      <c r="G18" s="32" t="n">
        <f aca="false">IF(F18&gt;=Shop_Categories!$D$14,10,IF(F18&gt;=Shop_Categories!$D$13,9,IF(F18&gt;=Shop_Categories!$D$12,8,IF(F18&gt;=Shop_Categories!$D$11,7,IF(F18&gt;=Shop_Categories!$D$10,6,IF(F18&gt;=Shop_Categories!$D$9,5,IF(F18&gt;=Shop_Categories!$D$8,4,IF(F18&gt;=Shop_Categories!$D$7,3,IF(F18&gt;=Shop_Categories!$D$6,2,1)))))))))</f>
        <v>2</v>
      </c>
      <c r="H18" s="23" t="s">
        <v>178</v>
      </c>
    </row>
    <row r="19" customFormat="false" ht="15" hidden="false" customHeight="true" outlineLevel="0" collapsed="false">
      <c r="A19" s="23" t="n">
        <v>15</v>
      </c>
      <c r="B19" s="31" t="n">
        <f aca="false">Parameters!$B$37*(Parameters!$B$38/24)</f>
        <v>1.66666666666667</v>
      </c>
      <c r="C19" s="31" t="n">
        <f aca="false">MIN(60-B19,Parameters!$B$30*60/24)</f>
        <v>20</v>
      </c>
      <c r="D19" s="30" t="n">
        <f aca="false">0.5*POWER(Parameters!$B$42,15)*Parameters!$B$40</f>
        <v>9.9475983006414</v>
      </c>
      <c r="E19" s="29" t="n">
        <f aca="false">D19*(B19*60 + C19*60*Parameters!$B$31)</f>
        <v>6963.31881044898</v>
      </c>
      <c r="F19" s="29" t="n">
        <f aca="false">F18+E19</f>
        <v>33641.5940522449</v>
      </c>
      <c r="G19" s="32" t="n">
        <f aca="false">IF(F19&gt;=Shop_Categories!$D$14,10,IF(F19&gt;=Shop_Categories!$D$13,9,IF(F19&gt;=Shop_Categories!$D$12,8,IF(F19&gt;=Shop_Categories!$D$11,7,IF(F19&gt;=Shop_Categories!$D$10,6,IF(F19&gt;=Shop_Categories!$D$9,5,IF(F19&gt;=Shop_Categories!$D$8,4,IF(F19&gt;=Shop_Categories!$D$7,3,IF(F19&gt;=Shop_Categories!$D$6,2,1)))))))))</f>
        <v>2</v>
      </c>
      <c r="H19" s="23" t="s">
        <v>178</v>
      </c>
    </row>
    <row r="20" customFormat="false" ht="15" hidden="false" customHeight="true" outlineLevel="0" collapsed="false">
      <c r="A20" s="23" t="n">
        <v>16</v>
      </c>
      <c r="B20" s="31" t="n">
        <f aca="false">Parameters!$B$37*(Parameters!$B$38/24)</f>
        <v>1.66666666666667</v>
      </c>
      <c r="C20" s="31" t="n">
        <f aca="false">MIN(60-B20,Parameters!$B$30*60/24)</f>
        <v>20</v>
      </c>
      <c r="D20" s="30" t="n">
        <f aca="false">0.5*POWER(Parameters!$B$42,16)*Parameters!$B$40</f>
        <v>12.4344978758018</v>
      </c>
      <c r="E20" s="29" t="n">
        <f aca="false">D20*(B20*60 + C20*60*Parameters!$B$31)</f>
        <v>8704.14851306123</v>
      </c>
      <c r="F20" s="29" t="n">
        <f aca="false">F19+E20</f>
        <v>42345.7425653061</v>
      </c>
      <c r="G20" s="32" t="n">
        <f aca="false">IF(F20&gt;=Shop_Categories!$D$14,10,IF(F20&gt;=Shop_Categories!$D$13,9,IF(F20&gt;=Shop_Categories!$D$12,8,IF(F20&gt;=Shop_Categories!$D$11,7,IF(F20&gt;=Shop_Categories!$D$10,6,IF(F20&gt;=Shop_Categories!$D$9,5,IF(F20&gt;=Shop_Categories!$D$8,4,IF(F20&gt;=Shop_Categories!$D$7,3,IF(F20&gt;=Shop_Categories!$D$6,2,1)))))))))</f>
        <v>2</v>
      </c>
      <c r="H20" s="23" t="s">
        <v>179</v>
      </c>
    </row>
    <row r="21" customFormat="false" ht="15" hidden="false" customHeight="true" outlineLevel="0" collapsed="false">
      <c r="A21" s="23" t="n">
        <v>17</v>
      </c>
      <c r="B21" s="31" t="n">
        <f aca="false">Parameters!$B$37*(Parameters!$B$38/24)</f>
        <v>1.66666666666667</v>
      </c>
      <c r="C21" s="31" t="n">
        <f aca="false">MIN(60-B21,Parameters!$B$30*60/24)</f>
        <v>20</v>
      </c>
      <c r="D21" s="30" t="n">
        <f aca="false">0.5*POWER(Parameters!$B$42,17)*Parameters!$B$40</f>
        <v>15.5431223447522</v>
      </c>
      <c r="E21" s="29" t="n">
        <f aca="false">D21*(B21*60 + C21*60*Parameters!$B$31)</f>
        <v>10880.1856413265</v>
      </c>
      <c r="F21" s="29" t="n">
        <f aca="false">F20+E21</f>
        <v>53225.9282066327</v>
      </c>
      <c r="G21" s="32" t="n">
        <f aca="false">IF(F21&gt;=Shop_Categories!$D$14,10,IF(F21&gt;=Shop_Categories!$D$13,9,IF(F21&gt;=Shop_Categories!$D$12,8,IF(F21&gt;=Shop_Categories!$D$11,7,IF(F21&gt;=Shop_Categories!$D$10,6,IF(F21&gt;=Shop_Categories!$D$9,5,IF(F21&gt;=Shop_Categories!$D$8,4,IF(F21&gt;=Shop_Categories!$D$7,3,IF(F21&gt;=Shop_Categories!$D$6,2,1)))))))))</f>
        <v>3</v>
      </c>
      <c r="H21" s="23" t="s">
        <v>179</v>
      </c>
    </row>
    <row r="22" customFormat="false" ht="15" hidden="false" customHeight="true" outlineLevel="0" collapsed="false">
      <c r="A22" s="23" t="n">
        <v>18</v>
      </c>
      <c r="B22" s="31" t="n">
        <f aca="false">Parameters!$B$37*(Parameters!$B$38/24)</f>
        <v>1.66666666666667</v>
      </c>
      <c r="C22" s="31" t="n">
        <f aca="false">MIN(60-B22,Parameters!$B$30*60/24)</f>
        <v>20</v>
      </c>
      <c r="D22" s="30" t="n">
        <f aca="false">0.5*POWER(Parameters!$B$42,18)*Parameters!$B$40</f>
        <v>19.4289029309402</v>
      </c>
      <c r="E22" s="29" t="n">
        <f aca="false">D22*(B22*60 + C22*60*Parameters!$B$31)</f>
        <v>13600.2320516582</v>
      </c>
      <c r="F22" s="29" t="n">
        <f aca="false">F21+E22</f>
        <v>66826.1602582908</v>
      </c>
      <c r="G22" s="32" t="n">
        <f aca="false">IF(F22&gt;=Shop_Categories!$D$14,10,IF(F22&gt;=Shop_Categories!$D$13,9,IF(F22&gt;=Shop_Categories!$D$12,8,IF(F22&gt;=Shop_Categories!$D$11,7,IF(F22&gt;=Shop_Categories!$D$10,6,IF(F22&gt;=Shop_Categories!$D$9,5,IF(F22&gt;=Shop_Categories!$D$8,4,IF(F22&gt;=Shop_Categories!$D$7,3,IF(F22&gt;=Shop_Categories!$D$6,2,1)))))))))</f>
        <v>3</v>
      </c>
      <c r="H22" s="23" t="s">
        <v>179</v>
      </c>
    </row>
    <row r="23" customFormat="false" ht="15" hidden="false" customHeight="true" outlineLevel="0" collapsed="false">
      <c r="A23" s="23" t="n">
        <v>19</v>
      </c>
      <c r="B23" s="31" t="n">
        <f aca="false">Parameters!$B$37*(Parameters!$B$38/24)</f>
        <v>1.66666666666667</v>
      </c>
      <c r="C23" s="31" t="n">
        <f aca="false">MIN(60-B23,Parameters!$B$30*60/24)</f>
        <v>20</v>
      </c>
      <c r="D23" s="30" t="n">
        <f aca="false">0.5*POWER(Parameters!$B$42,19)*Parameters!$B$40</f>
        <v>24.2861286636753</v>
      </c>
      <c r="E23" s="29" t="n">
        <f aca="false">D23*(B23*60 + C23*60*Parameters!$B$31)</f>
        <v>17000.2900645727</v>
      </c>
      <c r="F23" s="29" t="n">
        <f aca="false">F22+E23</f>
        <v>83826.4503228635</v>
      </c>
      <c r="G23" s="32" t="n">
        <f aca="false">IF(F23&gt;=Shop_Categories!$D$14,10,IF(F23&gt;=Shop_Categories!$D$13,9,IF(F23&gt;=Shop_Categories!$D$12,8,IF(F23&gt;=Shop_Categories!$D$11,7,IF(F23&gt;=Shop_Categories!$D$10,6,IF(F23&gt;=Shop_Categories!$D$9,5,IF(F23&gt;=Shop_Categories!$D$8,4,IF(F23&gt;=Shop_Categories!$D$7,3,IF(F23&gt;=Shop_Categories!$D$6,2,1)))))))))</f>
        <v>3</v>
      </c>
      <c r="H23" s="23" t="s">
        <v>179</v>
      </c>
    </row>
    <row r="24" customFormat="false" ht="15" hidden="false" customHeight="true" outlineLevel="0" collapsed="false">
      <c r="A24" s="23" t="n">
        <v>20</v>
      </c>
      <c r="B24" s="31" t="n">
        <f aca="false">Parameters!$B$37*(Parameters!$B$38/24)</f>
        <v>1.66666666666667</v>
      </c>
      <c r="C24" s="31" t="n">
        <f aca="false">MIN(60-B24,Parameters!$B$30*60/24)</f>
        <v>20</v>
      </c>
      <c r="D24" s="30" t="n">
        <f aca="false">0.5*POWER(Parameters!$B$42,20)*Parameters!$B$40</f>
        <v>30.3576608295941</v>
      </c>
      <c r="E24" s="29" t="n">
        <f aca="false">D24*(B24*60 + C24*60*Parameters!$B$31)</f>
        <v>21250.3625807159</v>
      </c>
      <c r="F24" s="29" t="n">
        <f aca="false">F23+E24</f>
        <v>105076.812903579</v>
      </c>
      <c r="G24" s="32" t="n">
        <f aca="false">IF(F24&gt;=Shop_Categories!$D$14,10,IF(F24&gt;=Shop_Categories!$D$13,9,IF(F24&gt;=Shop_Categories!$D$12,8,IF(F24&gt;=Shop_Categories!$D$11,7,IF(F24&gt;=Shop_Categories!$D$10,6,IF(F24&gt;=Shop_Categories!$D$9,5,IF(F24&gt;=Shop_Categories!$D$8,4,IF(F24&gt;=Shop_Categories!$D$7,3,IF(F24&gt;=Shop_Categories!$D$6,2,1)))))))))</f>
        <v>3</v>
      </c>
      <c r="H24" s="23" t="s">
        <v>179</v>
      </c>
    </row>
    <row r="25" customFormat="false" ht="15" hidden="false" customHeight="true" outlineLevel="0" collapsed="false">
      <c r="A25" s="23" t="n">
        <v>21</v>
      </c>
      <c r="B25" s="31" t="n">
        <f aca="false">Parameters!$B$37*(Parameters!$B$38/24)</f>
        <v>1.66666666666667</v>
      </c>
      <c r="C25" s="31" t="n">
        <f aca="false">MIN(60-B25,Parameters!$B$30*60/24)</f>
        <v>20</v>
      </c>
      <c r="D25" s="30" t="n">
        <f aca="false">0.5*POWER(Parameters!$B$42,21)*Parameters!$B$40</f>
        <v>37.9470760369927</v>
      </c>
      <c r="E25" s="29" t="n">
        <f aca="false">D25*(B25*60 + C25*60*Parameters!$B$31)</f>
        <v>26562.9532258949</v>
      </c>
      <c r="F25" s="29" t="n">
        <f aca="false">F24+E25</f>
        <v>131639.766129474</v>
      </c>
      <c r="G25" s="32" t="n">
        <f aca="false">IF(F25&gt;=Shop_Categories!$D$14,10,IF(F25&gt;=Shop_Categories!$D$13,9,IF(F25&gt;=Shop_Categories!$D$12,8,IF(F25&gt;=Shop_Categories!$D$11,7,IF(F25&gt;=Shop_Categories!$D$10,6,IF(F25&gt;=Shop_Categories!$D$9,5,IF(F25&gt;=Shop_Categories!$D$8,4,IF(F25&gt;=Shop_Categories!$D$7,3,IF(F25&gt;=Shop_Categories!$D$6,2,1)))))))))</f>
        <v>3</v>
      </c>
      <c r="H25" s="23" t="s">
        <v>179</v>
      </c>
    </row>
    <row r="26" customFormat="false" ht="15" hidden="false" customHeight="true" outlineLevel="0" collapsed="false">
      <c r="A26" s="23" t="n">
        <v>22</v>
      </c>
      <c r="B26" s="31" t="n">
        <f aca="false">Parameters!$B$37*(Parameters!$B$38/24)</f>
        <v>1.66666666666667</v>
      </c>
      <c r="C26" s="31" t="n">
        <f aca="false">MIN(60-B26,Parameters!$B$30*60/24)</f>
        <v>20</v>
      </c>
      <c r="D26" s="30" t="n">
        <f aca="false">0.5*POWER(Parameters!$B$42,22)*Parameters!$B$40</f>
        <v>47.4338450462408</v>
      </c>
      <c r="E26" s="29" t="n">
        <f aca="false">D26*(B26*60 + C26*60*Parameters!$B$31)</f>
        <v>33203.6915323686</v>
      </c>
      <c r="F26" s="29" t="n">
        <f aca="false">F25+E26</f>
        <v>164843.457661843</v>
      </c>
      <c r="G26" s="32" t="n">
        <f aca="false">IF(F26&gt;=Shop_Categories!$D$14,10,IF(F26&gt;=Shop_Categories!$D$13,9,IF(F26&gt;=Shop_Categories!$D$12,8,IF(F26&gt;=Shop_Categories!$D$11,7,IF(F26&gt;=Shop_Categories!$D$10,6,IF(F26&gt;=Shop_Categories!$D$9,5,IF(F26&gt;=Shop_Categories!$D$8,4,IF(F26&gt;=Shop_Categories!$D$7,3,IF(F26&gt;=Shop_Categories!$D$6,2,1)))))))))</f>
        <v>3</v>
      </c>
      <c r="H26" s="23" t="s">
        <v>179</v>
      </c>
    </row>
    <row r="27" customFormat="false" ht="15" hidden="false" customHeight="true" outlineLevel="0" collapsed="false">
      <c r="A27" s="23" t="n">
        <v>23</v>
      </c>
      <c r="B27" s="31" t="n">
        <f aca="false">Parameters!$B$37*(Parameters!$B$38/24)</f>
        <v>1.66666666666667</v>
      </c>
      <c r="C27" s="31" t="n">
        <f aca="false">MIN(60-B27,Parameters!$B$30*60/24)</f>
        <v>20</v>
      </c>
      <c r="D27" s="30" t="n">
        <f aca="false">0.5*POWER(Parameters!$B$42,23)*Parameters!$B$40</f>
        <v>59.292306307801</v>
      </c>
      <c r="E27" s="29" t="n">
        <f aca="false">D27*(B27*60 + C27*60*Parameters!$B$31)</f>
        <v>41504.6144154607</v>
      </c>
      <c r="F27" s="29" t="n">
        <f aca="false">F26+E27</f>
        <v>206348.072077304</v>
      </c>
      <c r="G27" s="32" t="n">
        <f aca="false">IF(F27&gt;=Shop_Categories!$D$14,10,IF(F27&gt;=Shop_Categories!$D$13,9,IF(F27&gt;=Shop_Categories!$D$12,8,IF(F27&gt;=Shop_Categories!$D$11,7,IF(F27&gt;=Shop_Categories!$D$10,6,IF(F27&gt;=Shop_Categories!$D$9,5,IF(F27&gt;=Shop_Categories!$D$8,4,IF(F27&gt;=Shop_Categories!$D$7,3,IF(F27&gt;=Shop_Categories!$D$6,2,1)))))))))</f>
        <v>3</v>
      </c>
      <c r="H27" s="23" t="s">
        <v>179</v>
      </c>
    </row>
    <row r="28" customFormat="false" ht="15" hidden="false" customHeight="true" outlineLevel="0" collapsed="false">
      <c r="A28" s="23" t="n">
        <v>24</v>
      </c>
      <c r="B28" s="31" t="n">
        <f aca="false">Parameters!$B$37*(Parameters!$B$38/24)</f>
        <v>1.66666666666667</v>
      </c>
      <c r="C28" s="31" t="n">
        <f aca="false">MIN(60-B28,Parameters!$B$30*60/24)</f>
        <v>20</v>
      </c>
      <c r="D28" s="30" t="n">
        <f aca="false">0.5*POWER(Parameters!$B$42,24)*Parameters!$B$40</f>
        <v>74.1153828847513</v>
      </c>
      <c r="E28" s="29" t="n">
        <f aca="false">D28*(B28*60 + C28*60*Parameters!$B$31)</f>
        <v>51880.7680193259</v>
      </c>
      <c r="F28" s="29" t="n">
        <f aca="false">F27+E28</f>
        <v>258228.840096629</v>
      </c>
      <c r="G28" s="32" t="n">
        <f aca="false">IF(F28&gt;=Shop_Categories!$D$14,10,IF(F28&gt;=Shop_Categories!$D$13,9,IF(F28&gt;=Shop_Categories!$D$12,8,IF(F28&gt;=Shop_Categories!$D$11,7,IF(F28&gt;=Shop_Categories!$D$10,6,IF(F28&gt;=Shop_Categories!$D$9,5,IF(F28&gt;=Shop_Categories!$D$8,4,IF(F28&gt;=Shop_Categories!$D$7,3,IF(F28&gt;=Shop_Categories!$D$6,2,1)))))))))</f>
        <v>3</v>
      </c>
      <c r="H28" s="23" t="s">
        <v>179</v>
      </c>
    </row>
    <row r="29" customFormat="false" ht="15" hidden="false" customHeight="true" outlineLevel="0" collapsed="false">
      <c r="A29" s="23" t="n">
        <v>25</v>
      </c>
      <c r="B29" s="31" t="n">
        <f aca="false">Parameters!$B$37*(Parameters!$B$38/24)</f>
        <v>1.66666666666667</v>
      </c>
      <c r="C29" s="31" t="n">
        <f aca="false">MIN(60-B29,Parameters!$B$30*60/24)</f>
        <v>20</v>
      </c>
      <c r="D29" s="30" t="n">
        <f aca="false">0.5*POWER(Parameters!$B$42,25)*Parameters!$B$40</f>
        <v>92.6442286059391</v>
      </c>
      <c r="E29" s="29" t="n">
        <f aca="false">D29*(B29*60 + C29*60*Parameters!$B$31)</f>
        <v>64850.9600241574</v>
      </c>
      <c r="F29" s="29" t="n">
        <f aca="false">F28+E29</f>
        <v>323079.800120787</v>
      </c>
      <c r="G29" s="32" t="n">
        <f aca="false">IF(F29&gt;=Shop_Categories!$D$14,10,IF(F29&gt;=Shop_Categories!$D$13,9,IF(F29&gt;=Shop_Categories!$D$12,8,IF(F29&gt;=Shop_Categories!$D$11,7,IF(F29&gt;=Shop_Categories!$D$10,6,IF(F29&gt;=Shop_Categories!$D$9,5,IF(F29&gt;=Shop_Categories!$D$8,4,IF(F29&gt;=Shop_Categories!$D$7,3,IF(F29&gt;=Shop_Categories!$D$6,2,1)))))))))</f>
        <v>3</v>
      </c>
      <c r="H29" s="23" t="s">
        <v>179</v>
      </c>
    </row>
    <row r="30" customFormat="false" ht="15" hidden="false" customHeight="true" outlineLevel="0" collapsed="false">
      <c r="A30" s="23" t="n">
        <v>26</v>
      </c>
      <c r="B30" s="31" t="n">
        <f aca="false">Parameters!$B$37*(Parameters!$B$38/24)</f>
        <v>1.66666666666667</v>
      </c>
      <c r="C30" s="31" t="n">
        <f aca="false">MIN(60-B30,Parameters!$B$30*60/24)</f>
        <v>20</v>
      </c>
      <c r="D30" s="30" t="n">
        <f aca="false">0.5*POWER(Parameters!$B$42,26)*Parameters!$B$40</f>
        <v>115.805285757424</v>
      </c>
      <c r="E30" s="29" t="n">
        <f aca="false">D30*(B30*60 + C30*60*Parameters!$B$31)</f>
        <v>81063.7000301967</v>
      </c>
      <c r="F30" s="29" t="n">
        <f aca="false">F29+E30</f>
        <v>404143.500150984</v>
      </c>
      <c r="G30" s="32" t="n">
        <f aca="false">IF(F30&gt;=Shop_Categories!$D$14,10,IF(F30&gt;=Shop_Categories!$D$13,9,IF(F30&gt;=Shop_Categories!$D$12,8,IF(F30&gt;=Shop_Categories!$D$11,7,IF(F30&gt;=Shop_Categories!$D$10,6,IF(F30&gt;=Shop_Categories!$D$9,5,IF(F30&gt;=Shop_Categories!$D$8,4,IF(F30&gt;=Shop_Categories!$D$7,3,IF(F30&gt;=Shop_Categories!$D$6,2,1)))))))))</f>
        <v>3</v>
      </c>
      <c r="H30" s="23" t="s">
        <v>179</v>
      </c>
    </row>
    <row r="31" customFormat="false" ht="15" hidden="false" customHeight="true" outlineLevel="0" collapsed="false">
      <c r="A31" s="23" t="n">
        <v>27</v>
      </c>
      <c r="B31" s="31" t="n">
        <f aca="false">Parameters!$B$37*(Parameters!$B$38/24)</f>
        <v>1.66666666666667</v>
      </c>
      <c r="C31" s="31" t="n">
        <f aca="false">MIN(60-B31,Parameters!$B$30*60/24)</f>
        <v>20</v>
      </c>
      <c r="D31" s="30" t="n">
        <f aca="false">0.5*POWER(Parameters!$B$42,27)*Parameters!$B$40</f>
        <v>144.75660719678</v>
      </c>
      <c r="E31" s="29" t="n">
        <f aca="false">D31*(B31*60 + C31*60*Parameters!$B$31)</f>
        <v>101329.625037746</v>
      </c>
      <c r="F31" s="29" t="n">
        <f aca="false">F30+E31</f>
        <v>505473.125188729</v>
      </c>
      <c r="G31" s="32" t="n">
        <f aca="false">IF(F31&gt;=Shop_Categories!$D$14,10,IF(F31&gt;=Shop_Categories!$D$13,9,IF(F31&gt;=Shop_Categories!$D$12,8,IF(F31&gt;=Shop_Categories!$D$11,7,IF(F31&gt;=Shop_Categories!$D$10,6,IF(F31&gt;=Shop_Categories!$D$9,5,IF(F31&gt;=Shop_Categories!$D$8,4,IF(F31&gt;=Shop_Categories!$D$7,3,IF(F31&gt;=Shop_Categories!$D$6,2,1)))))))))</f>
        <v>3</v>
      </c>
      <c r="H31" s="23" t="s">
        <v>179</v>
      </c>
    </row>
    <row r="32" customFormat="false" ht="15" hidden="false" customHeight="true" outlineLevel="0" collapsed="false">
      <c r="A32" s="23" t="n">
        <v>28</v>
      </c>
      <c r="B32" s="31" t="n">
        <f aca="false">Parameters!$B$37*(Parameters!$B$38/24)</f>
        <v>1.66666666666667</v>
      </c>
      <c r="C32" s="31" t="n">
        <f aca="false">MIN(60-B32,Parameters!$B$30*60/24)</f>
        <v>20</v>
      </c>
      <c r="D32" s="30" t="n">
        <f aca="false">0.5*POWER(Parameters!$B$42,28)*Parameters!$B$40</f>
        <v>180.945758995975</v>
      </c>
      <c r="E32" s="29" t="n">
        <f aca="false">D32*(B32*60 + C32*60*Parameters!$B$31)</f>
        <v>126662.031297182</v>
      </c>
      <c r="F32" s="29" t="n">
        <f aca="false">F31+E32</f>
        <v>632135.156485912</v>
      </c>
      <c r="G32" s="32" t="n">
        <f aca="false">IF(F32&gt;=Shop_Categories!$D$14,10,IF(F32&gt;=Shop_Categories!$D$13,9,IF(F32&gt;=Shop_Categories!$D$12,8,IF(F32&gt;=Shop_Categories!$D$11,7,IF(F32&gt;=Shop_Categories!$D$10,6,IF(F32&gt;=Shop_Categories!$D$9,5,IF(F32&gt;=Shop_Categories!$D$8,4,IF(F32&gt;=Shop_Categories!$D$7,3,IF(F32&gt;=Shop_Categories!$D$6,2,1)))))))))</f>
        <v>3</v>
      </c>
      <c r="H32" s="23" t="s">
        <v>179</v>
      </c>
    </row>
    <row r="33" customFormat="false" ht="15" hidden="false" customHeight="true" outlineLevel="0" collapsed="false">
      <c r="A33" s="23" t="n">
        <v>29</v>
      </c>
      <c r="B33" s="31" t="n">
        <f aca="false">Parameters!$B$37*(Parameters!$B$38/24)</f>
        <v>1.66666666666667</v>
      </c>
      <c r="C33" s="31" t="n">
        <f aca="false">MIN(60-B33,Parameters!$B$30*60/24)</f>
        <v>20</v>
      </c>
      <c r="D33" s="30" t="n">
        <f aca="false">0.5*POWER(Parameters!$B$42,29)*Parameters!$B$40</f>
        <v>226.182198744968</v>
      </c>
      <c r="E33" s="29" t="n">
        <f aca="false">D33*(B33*60 + C33*60*Parameters!$B$31)</f>
        <v>158327.539121478</v>
      </c>
      <c r="F33" s="29" t="n">
        <f aca="false">F32+E33</f>
        <v>790462.69560739</v>
      </c>
      <c r="G33" s="32" t="n">
        <f aca="false">IF(F33&gt;=Shop_Categories!$D$14,10,IF(F33&gt;=Shop_Categories!$D$13,9,IF(F33&gt;=Shop_Categories!$D$12,8,IF(F33&gt;=Shop_Categories!$D$11,7,IF(F33&gt;=Shop_Categories!$D$10,6,IF(F33&gt;=Shop_Categories!$D$9,5,IF(F33&gt;=Shop_Categories!$D$8,4,IF(F33&gt;=Shop_Categories!$D$7,3,IF(F33&gt;=Shop_Categories!$D$6,2,1)))))))))</f>
        <v>3</v>
      </c>
      <c r="H33" s="23" t="s">
        <v>179</v>
      </c>
    </row>
    <row r="34" customFormat="false" ht="15" hidden="false" customHeight="true" outlineLevel="0" collapsed="false">
      <c r="A34" s="23" t="n">
        <v>30</v>
      </c>
      <c r="B34" s="31" t="n">
        <f aca="false">Parameters!$B$37*(Parameters!$B$38/24)</f>
        <v>1.66666666666667</v>
      </c>
      <c r="C34" s="31" t="n">
        <f aca="false">MIN(60-B34,Parameters!$B$30*60/24)</f>
        <v>20</v>
      </c>
      <c r="D34" s="30" t="n">
        <f aca="false">0.5*POWER(Parameters!$B$42,30)*Parameters!$B$40</f>
        <v>282.727748431211</v>
      </c>
      <c r="E34" s="29" t="n">
        <f aca="false">D34*(B34*60 + C34*60*Parameters!$B$31)</f>
        <v>197909.423901847</v>
      </c>
      <c r="F34" s="29" t="n">
        <f aca="false">F33+E34</f>
        <v>988372.119509237</v>
      </c>
      <c r="G34" s="32" t="n">
        <f aca="false">IF(F34&gt;=Shop_Categories!$D$14,10,IF(F34&gt;=Shop_Categories!$D$13,9,IF(F34&gt;=Shop_Categories!$D$12,8,IF(F34&gt;=Shop_Categories!$D$11,7,IF(F34&gt;=Shop_Categories!$D$10,6,IF(F34&gt;=Shop_Categories!$D$9,5,IF(F34&gt;=Shop_Categories!$D$8,4,IF(F34&gt;=Shop_Categories!$D$7,3,IF(F34&gt;=Shop_Categories!$D$6,2,1)))))))))</f>
        <v>3</v>
      </c>
      <c r="H34" s="23" t="s">
        <v>179</v>
      </c>
    </row>
    <row r="35" customFormat="false" ht="15" hidden="false" customHeight="true" outlineLevel="0" collapsed="false">
      <c r="A35" s="23" t="n">
        <v>31</v>
      </c>
      <c r="B35" s="31" t="n">
        <f aca="false">Parameters!$B$37*(Parameters!$B$38/24)</f>
        <v>1.66666666666667</v>
      </c>
      <c r="C35" s="31" t="n">
        <f aca="false">MIN(60-B35,Parameters!$B$30*60/24)</f>
        <v>20</v>
      </c>
      <c r="D35" s="30" t="n">
        <f aca="false">0.5*POWER(Parameters!$B$42,31)*Parameters!$B$40</f>
        <v>353.409685539013</v>
      </c>
      <c r="E35" s="29" t="n">
        <f aca="false">D35*(B35*60 + C35*60*Parameters!$B$31)</f>
        <v>247386.779877309</v>
      </c>
      <c r="F35" s="29" t="n">
        <f aca="false">F34+E35</f>
        <v>1235758.89938655</v>
      </c>
      <c r="G35" s="32" t="n">
        <f aca="false">IF(F35&gt;=Shop_Categories!$D$14,10,IF(F35&gt;=Shop_Categories!$D$13,9,IF(F35&gt;=Shop_Categories!$D$12,8,IF(F35&gt;=Shop_Categories!$D$11,7,IF(F35&gt;=Shop_Categories!$D$10,6,IF(F35&gt;=Shop_Categories!$D$9,5,IF(F35&gt;=Shop_Categories!$D$8,4,IF(F35&gt;=Shop_Categories!$D$7,3,IF(F35&gt;=Shop_Categories!$D$6,2,1)))))))))</f>
        <v>4</v>
      </c>
      <c r="H35" s="23" t="s">
        <v>179</v>
      </c>
    </row>
    <row r="36" customFormat="false" ht="15" hidden="false" customHeight="true" outlineLevel="0" collapsed="false">
      <c r="A36" s="23" t="n">
        <v>32</v>
      </c>
      <c r="B36" s="31" t="n">
        <f aca="false">Parameters!$B$37*(Parameters!$B$38/24)</f>
        <v>1.66666666666667</v>
      </c>
      <c r="C36" s="31" t="n">
        <f aca="false">MIN(60-B36,Parameters!$B$30*60/24)</f>
        <v>20</v>
      </c>
      <c r="D36" s="30" t="n">
        <f aca="false">0.5*POWER(Parameters!$B$42,32)*Parameters!$B$40</f>
        <v>441.762106923767</v>
      </c>
      <c r="E36" s="29" t="n">
        <f aca="false">D36*(B36*60 + C36*60*Parameters!$B$31)</f>
        <v>309233.474846637</v>
      </c>
      <c r="F36" s="29" t="n">
        <f aca="false">F35+E36</f>
        <v>1544992.37423318</v>
      </c>
      <c r="G36" s="32" t="n">
        <f aca="false">IF(F36&gt;=Shop_Categories!$D$14,10,IF(F36&gt;=Shop_Categories!$D$13,9,IF(F36&gt;=Shop_Categories!$D$12,8,IF(F36&gt;=Shop_Categories!$D$11,7,IF(F36&gt;=Shop_Categories!$D$10,6,IF(F36&gt;=Shop_Categories!$D$9,5,IF(F36&gt;=Shop_Categories!$D$8,4,IF(F36&gt;=Shop_Categories!$D$7,3,IF(F36&gt;=Shop_Categories!$D$6,2,1)))))))))</f>
        <v>4</v>
      </c>
      <c r="H36" s="23" t="s">
        <v>179</v>
      </c>
    </row>
    <row r="37" customFormat="false" ht="15" hidden="false" customHeight="true" outlineLevel="0" collapsed="false">
      <c r="A37" s="23" t="n">
        <v>33</v>
      </c>
      <c r="B37" s="31" t="n">
        <f aca="false">Parameters!$B$37*(Parameters!$B$38/24)</f>
        <v>1.66666666666667</v>
      </c>
      <c r="C37" s="31" t="n">
        <f aca="false">MIN(60-B37,Parameters!$B$30*60/24)</f>
        <v>20</v>
      </c>
      <c r="D37" s="30" t="n">
        <f aca="false">0.5*POWER(Parameters!$B$42,33)*Parameters!$B$40</f>
        <v>552.202633654708</v>
      </c>
      <c r="E37" s="29" t="n">
        <f aca="false">D37*(B37*60 + C37*60*Parameters!$B$31)</f>
        <v>386541.843558296</v>
      </c>
      <c r="F37" s="29" t="n">
        <f aca="false">F36+E37</f>
        <v>1931534.21779148</v>
      </c>
      <c r="G37" s="32" t="n">
        <f aca="false">IF(F37&gt;=Shop_Categories!$D$14,10,IF(F37&gt;=Shop_Categories!$D$13,9,IF(F37&gt;=Shop_Categories!$D$12,8,IF(F37&gt;=Shop_Categories!$D$11,7,IF(F37&gt;=Shop_Categories!$D$10,6,IF(F37&gt;=Shop_Categories!$D$9,5,IF(F37&gt;=Shop_Categories!$D$8,4,IF(F37&gt;=Shop_Categories!$D$7,3,IF(F37&gt;=Shop_Categories!$D$6,2,1)))))))))</f>
        <v>4</v>
      </c>
      <c r="H37" s="23" t="s">
        <v>179</v>
      </c>
    </row>
    <row r="38" customFormat="false" ht="15" hidden="false" customHeight="true" outlineLevel="0" collapsed="false">
      <c r="A38" s="23" t="n">
        <v>34</v>
      </c>
      <c r="B38" s="31" t="n">
        <f aca="false">Parameters!$B$37*(Parameters!$B$38/24)</f>
        <v>1.66666666666667</v>
      </c>
      <c r="C38" s="31" t="n">
        <f aca="false">MIN(60-B38,Parameters!$B$30*60/24)</f>
        <v>20</v>
      </c>
      <c r="D38" s="30" t="n">
        <f aca="false">0.5*POWER(Parameters!$B$42,34)*Parameters!$B$40</f>
        <v>690.253292068385</v>
      </c>
      <c r="E38" s="29" t="n">
        <f aca="false">D38*(B38*60 + C38*60*Parameters!$B$31)</f>
        <v>483177.30444787</v>
      </c>
      <c r="F38" s="29" t="n">
        <f aca="false">F37+E38</f>
        <v>2414711.52223935</v>
      </c>
      <c r="G38" s="32" t="n">
        <f aca="false">IF(F38&gt;=Shop_Categories!$D$14,10,IF(F38&gt;=Shop_Categories!$D$13,9,IF(F38&gt;=Shop_Categories!$D$12,8,IF(F38&gt;=Shop_Categories!$D$11,7,IF(F38&gt;=Shop_Categories!$D$10,6,IF(F38&gt;=Shop_Categories!$D$9,5,IF(F38&gt;=Shop_Categories!$D$8,4,IF(F38&gt;=Shop_Categories!$D$7,3,IF(F38&gt;=Shop_Categories!$D$6,2,1)))))))))</f>
        <v>4</v>
      </c>
      <c r="H38" s="23" t="s">
        <v>179</v>
      </c>
    </row>
    <row r="39" customFormat="false" ht="15" hidden="false" customHeight="true" outlineLevel="0" collapsed="false">
      <c r="A39" s="23" t="n">
        <v>35</v>
      </c>
      <c r="B39" s="31" t="n">
        <f aca="false">Parameters!$B$37*(Parameters!$B$38/24)</f>
        <v>1.66666666666667</v>
      </c>
      <c r="C39" s="31" t="n">
        <f aca="false">MIN(60-B39,Parameters!$B$30*60/24)</f>
        <v>20</v>
      </c>
      <c r="D39" s="30" t="n">
        <f aca="false">0.5*POWER(Parameters!$B$42,35)*Parameters!$B$40</f>
        <v>862.816615085482</v>
      </c>
      <c r="E39" s="29" t="n">
        <f aca="false">D39*(B39*60 + C39*60*Parameters!$B$31)</f>
        <v>603971.630559837</v>
      </c>
      <c r="F39" s="29" t="n">
        <f aca="false">F38+E39</f>
        <v>3018683.15279919</v>
      </c>
      <c r="G39" s="32" t="n">
        <f aca="false">IF(F39&gt;=Shop_Categories!$D$14,10,IF(F39&gt;=Shop_Categories!$D$13,9,IF(F39&gt;=Shop_Categories!$D$12,8,IF(F39&gt;=Shop_Categories!$D$11,7,IF(F39&gt;=Shop_Categories!$D$10,6,IF(F39&gt;=Shop_Categories!$D$9,5,IF(F39&gt;=Shop_Categories!$D$8,4,IF(F39&gt;=Shop_Categories!$D$7,3,IF(F39&gt;=Shop_Categories!$D$6,2,1)))))))))</f>
        <v>4</v>
      </c>
      <c r="H39" s="23" t="s">
        <v>179</v>
      </c>
    </row>
    <row r="40" customFormat="false" ht="15" hidden="false" customHeight="true" outlineLevel="0" collapsed="false">
      <c r="A40" s="23" t="n">
        <v>36</v>
      </c>
      <c r="B40" s="31" t="n">
        <f aca="false">Parameters!$B$37*(Parameters!$B$38/24)</f>
        <v>1.66666666666667</v>
      </c>
      <c r="C40" s="31" t="n">
        <f aca="false">MIN(60-B40,Parameters!$B$30*60/24)</f>
        <v>20</v>
      </c>
      <c r="D40" s="30" t="n">
        <f aca="false">0.5*POWER(Parameters!$B$42,36)*Parameters!$B$40</f>
        <v>1078.52076885685</v>
      </c>
      <c r="E40" s="29" t="n">
        <f aca="false">D40*(B40*60 + C40*60*Parameters!$B$31)</f>
        <v>754964.538199797</v>
      </c>
      <c r="F40" s="29" t="n">
        <f aca="false">F39+E40</f>
        <v>3773647.69099898</v>
      </c>
      <c r="G40" s="32" t="n">
        <f aca="false">IF(F40&gt;=Shop_Categories!$D$14,10,IF(F40&gt;=Shop_Categories!$D$13,9,IF(F40&gt;=Shop_Categories!$D$12,8,IF(F40&gt;=Shop_Categories!$D$11,7,IF(F40&gt;=Shop_Categories!$D$10,6,IF(F40&gt;=Shop_Categories!$D$9,5,IF(F40&gt;=Shop_Categories!$D$8,4,IF(F40&gt;=Shop_Categories!$D$7,3,IF(F40&gt;=Shop_Categories!$D$6,2,1)))))))))</f>
        <v>4</v>
      </c>
      <c r="H40" s="23" t="s">
        <v>180</v>
      </c>
    </row>
    <row r="41" customFormat="false" ht="15" hidden="false" customHeight="true" outlineLevel="0" collapsed="false">
      <c r="A41" s="23" t="n">
        <v>37</v>
      </c>
      <c r="B41" s="31" t="n">
        <f aca="false">Parameters!$B$37*(Parameters!$B$38/24)</f>
        <v>1.66666666666667</v>
      </c>
      <c r="C41" s="31" t="n">
        <f aca="false">MIN(60-B41,Parameters!$B$30*60/24)</f>
        <v>20</v>
      </c>
      <c r="D41" s="30" t="n">
        <f aca="false">0.5*POWER(Parameters!$B$42,37)*Parameters!$B$40</f>
        <v>1348.15096107107</v>
      </c>
      <c r="E41" s="29" t="n">
        <f aca="false">D41*(B41*60 + C41*60*Parameters!$B$31)</f>
        <v>943705.672749746</v>
      </c>
      <c r="F41" s="29" t="n">
        <f aca="false">F40+E41</f>
        <v>4717353.36374873</v>
      </c>
      <c r="G41" s="32" t="n">
        <f aca="false">IF(F41&gt;=Shop_Categories!$D$14,10,IF(F41&gt;=Shop_Categories!$D$13,9,IF(F41&gt;=Shop_Categories!$D$12,8,IF(F41&gt;=Shop_Categories!$D$11,7,IF(F41&gt;=Shop_Categories!$D$10,6,IF(F41&gt;=Shop_Categories!$D$9,5,IF(F41&gt;=Shop_Categories!$D$8,4,IF(F41&gt;=Shop_Categories!$D$7,3,IF(F41&gt;=Shop_Categories!$D$6,2,1)))))))))</f>
        <v>4</v>
      </c>
      <c r="H41" s="23" t="s">
        <v>180</v>
      </c>
    </row>
    <row r="42" customFormat="false" ht="15" hidden="false" customHeight="true" outlineLevel="0" collapsed="false">
      <c r="A42" s="23" t="n">
        <v>38</v>
      </c>
      <c r="B42" s="31" t="n">
        <f aca="false">Parameters!$B$37*(Parameters!$B$38/24)</f>
        <v>1.66666666666667</v>
      </c>
      <c r="C42" s="31" t="n">
        <f aca="false">MIN(60-B42,Parameters!$B$30*60/24)</f>
        <v>20</v>
      </c>
      <c r="D42" s="30" t="n">
        <f aca="false">0.5*POWER(Parameters!$B$42,38)*Parameters!$B$40</f>
        <v>1685.18870133883</v>
      </c>
      <c r="E42" s="29" t="n">
        <f aca="false">D42*(B42*60 + C42*60*Parameters!$B$31)</f>
        <v>1179632.09093718</v>
      </c>
      <c r="F42" s="29" t="n">
        <f aca="false">F41+E42</f>
        <v>5896985.45468591</v>
      </c>
      <c r="G42" s="32" t="n">
        <f aca="false">IF(F42&gt;=Shop_Categories!$D$14,10,IF(F42&gt;=Shop_Categories!$D$13,9,IF(F42&gt;=Shop_Categories!$D$12,8,IF(F42&gt;=Shop_Categories!$D$11,7,IF(F42&gt;=Shop_Categories!$D$10,6,IF(F42&gt;=Shop_Categories!$D$9,5,IF(F42&gt;=Shop_Categories!$D$8,4,IF(F42&gt;=Shop_Categories!$D$7,3,IF(F42&gt;=Shop_Categories!$D$6,2,1)))))))))</f>
        <v>4</v>
      </c>
      <c r="H42" s="23" t="s">
        <v>180</v>
      </c>
    </row>
    <row r="43" customFormat="false" ht="15" hidden="false" customHeight="true" outlineLevel="0" collapsed="false">
      <c r="A43" s="23" t="n">
        <v>39</v>
      </c>
      <c r="B43" s="31" t="n">
        <f aca="false">Parameters!$B$37*(Parameters!$B$38/24)</f>
        <v>1.66666666666667</v>
      </c>
      <c r="C43" s="31" t="n">
        <f aca="false">MIN(60-B43,Parameters!$B$30*60/24)</f>
        <v>20</v>
      </c>
      <c r="D43" s="30" t="n">
        <f aca="false">0.5*POWER(Parameters!$B$42,39)*Parameters!$B$40</f>
        <v>2106.48587667354</v>
      </c>
      <c r="E43" s="29" t="n">
        <f aca="false">D43*(B43*60 + C43*60*Parameters!$B$31)</f>
        <v>1474540.11367148</v>
      </c>
      <c r="F43" s="29" t="n">
        <f aca="false">F42+E43</f>
        <v>7371525.56835739</v>
      </c>
      <c r="G43" s="32" t="n">
        <f aca="false">IF(F43&gt;=Shop_Categories!$D$14,10,IF(F43&gt;=Shop_Categories!$D$13,9,IF(F43&gt;=Shop_Categories!$D$12,8,IF(F43&gt;=Shop_Categories!$D$11,7,IF(F43&gt;=Shop_Categories!$D$10,6,IF(F43&gt;=Shop_Categories!$D$9,5,IF(F43&gt;=Shop_Categories!$D$8,4,IF(F43&gt;=Shop_Categories!$D$7,3,IF(F43&gt;=Shop_Categories!$D$6,2,1)))))))))</f>
        <v>4</v>
      </c>
      <c r="H43" s="23" t="s">
        <v>180</v>
      </c>
    </row>
    <row r="44" customFormat="false" ht="15" hidden="false" customHeight="true" outlineLevel="0" collapsed="false">
      <c r="A44" s="23" t="n">
        <v>40</v>
      </c>
      <c r="B44" s="31" t="n">
        <f aca="false">Parameters!$B$37*(Parameters!$B$38/24)</f>
        <v>1.66666666666667</v>
      </c>
      <c r="C44" s="31" t="n">
        <f aca="false">MIN(60-B44,Parameters!$B$30*60/24)</f>
        <v>20</v>
      </c>
      <c r="D44" s="30" t="n">
        <f aca="false">0.5*POWER(Parameters!$B$42,40)*Parameters!$B$40</f>
        <v>2633.10734584192</v>
      </c>
      <c r="E44" s="29" t="n">
        <f aca="false">D44*(B44*60 + C44*60*Parameters!$B$31)</f>
        <v>1843175.14208935</v>
      </c>
      <c r="F44" s="29" t="n">
        <f aca="false">F43+E44</f>
        <v>9214700.71044673</v>
      </c>
      <c r="G44" s="32" t="n">
        <f aca="false">IF(F44&gt;=Shop_Categories!$D$14,10,IF(F44&gt;=Shop_Categories!$D$13,9,IF(F44&gt;=Shop_Categories!$D$12,8,IF(F44&gt;=Shop_Categories!$D$11,7,IF(F44&gt;=Shop_Categories!$D$10,6,IF(F44&gt;=Shop_Categories!$D$9,5,IF(F44&gt;=Shop_Categories!$D$8,4,IF(F44&gt;=Shop_Categories!$D$7,3,IF(F44&gt;=Shop_Categories!$D$6,2,1)))))))))</f>
        <v>4</v>
      </c>
      <c r="H44" s="23" t="s">
        <v>180</v>
      </c>
    </row>
    <row r="45" customFormat="false" ht="15" hidden="false" customHeight="true" outlineLevel="0" collapsed="false">
      <c r="A45" s="23" t="n">
        <v>41</v>
      </c>
      <c r="B45" s="31" t="n">
        <f aca="false">Parameters!$B$37*(Parameters!$B$38/24)</f>
        <v>1.66666666666667</v>
      </c>
      <c r="C45" s="31" t="n">
        <f aca="false">MIN(60-B45,Parameters!$B$30*60/24)</f>
        <v>20</v>
      </c>
      <c r="D45" s="30" t="n">
        <f aca="false">0.5*POWER(Parameters!$B$42,41)*Parameters!$B$40</f>
        <v>3291.38418230241</v>
      </c>
      <c r="E45" s="29" t="n">
        <f aca="false">D45*(B45*60 + C45*60*Parameters!$B$31)</f>
        <v>2303968.92761168</v>
      </c>
      <c r="F45" s="29" t="n">
        <f aca="false">F44+E45</f>
        <v>11518669.6380584</v>
      </c>
      <c r="G45" s="32" t="n">
        <f aca="false">IF(F45&gt;=Shop_Categories!$D$14,10,IF(F45&gt;=Shop_Categories!$D$13,9,IF(F45&gt;=Shop_Categories!$D$12,8,IF(F45&gt;=Shop_Categories!$D$11,7,IF(F45&gt;=Shop_Categories!$D$10,6,IF(F45&gt;=Shop_Categories!$D$9,5,IF(F45&gt;=Shop_Categories!$D$8,4,IF(F45&gt;=Shop_Categories!$D$7,3,IF(F45&gt;=Shop_Categories!$D$6,2,1)))))))))</f>
        <v>4</v>
      </c>
      <c r="H45" s="23" t="s">
        <v>180</v>
      </c>
    </row>
    <row r="46" customFormat="false" ht="15" hidden="false" customHeight="true" outlineLevel="0" collapsed="false">
      <c r="A46" s="23" t="n">
        <v>42</v>
      </c>
      <c r="B46" s="31" t="n">
        <f aca="false">Parameters!$B$37*(Parameters!$B$38/24)</f>
        <v>1.66666666666667</v>
      </c>
      <c r="C46" s="31" t="n">
        <f aca="false">MIN(60-B46,Parameters!$B$30*60/24)</f>
        <v>20</v>
      </c>
      <c r="D46" s="30" t="n">
        <f aca="false">0.5*POWER(Parameters!$B$42,42)*Parameters!$B$40</f>
        <v>4114.23022787801</v>
      </c>
      <c r="E46" s="29" t="n">
        <f aca="false">D46*(B46*60 + C46*60*Parameters!$B$31)</f>
        <v>2879961.1595146</v>
      </c>
      <c r="F46" s="29" t="n">
        <f aca="false">F45+E46</f>
        <v>14398630.797573</v>
      </c>
      <c r="G46" s="32" t="n">
        <f aca="false">IF(F46&gt;=Shop_Categories!$D$14,10,IF(F46&gt;=Shop_Categories!$D$13,9,IF(F46&gt;=Shop_Categories!$D$12,8,IF(F46&gt;=Shop_Categories!$D$11,7,IF(F46&gt;=Shop_Categories!$D$10,6,IF(F46&gt;=Shop_Categories!$D$9,5,IF(F46&gt;=Shop_Categories!$D$8,4,IF(F46&gt;=Shop_Categories!$D$7,3,IF(F46&gt;=Shop_Categories!$D$6,2,1)))))))))</f>
        <v>4</v>
      </c>
      <c r="H46" s="23" t="s">
        <v>180</v>
      </c>
    </row>
    <row r="47" customFormat="false" ht="15" hidden="false" customHeight="true" outlineLevel="0" collapsed="false">
      <c r="A47" s="23" t="n">
        <v>43</v>
      </c>
      <c r="B47" s="31" t="n">
        <f aca="false">Parameters!$B$37*(Parameters!$B$38/24)</f>
        <v>1.66666666666667</v>
      </c>
      <c r="C47" s="31" t="n">
        <f aca="false">MIN(60-B47,Parameters!$B$30*60/24)</f>
        <v>20</v>
      </c>
      <c r="D47" s="30" t="n">
        <f aca="false">0.5*POWER(Parameters!$B$42,43)*Parameters!$B$40</f>
        <v>5142.78778484751</v>
      </c>
      <c r="E47" s="29" t="n">
        <f aca="false">D47*(B47*60 + C47*60*Parameters!$B$31)</f>
        <v>3599951.44939326</v>
      </c>
      <c r="F47" s="29" t="n">
        <f aca="false">F46+E47</f>
        <v>17998582.2469663</v>
      </c>
      <c r="G47" s="32" t="n">
        <f aca="false">IF(F47&gt;=Shop_Categories!$D$14,10,IF(F47&gt;=Shop_Categories!$D$13,9,IF(F47&gt;=Shop_Categories!$D$12,8,IF(F47&gt;=Shop_Categories!$D$11,7,IF(F47&gt;=Shop_Categories!$D$10,6,IF(F47&gt;=Shop_Categories!$D$9,5,IF(F47&gt;=Shop_Categories!$D$8,4,IF(F47&gt;=Shop_Categories!$D$7,3,IF(F47&gt;=Shop_Categories!$D$6,2,1)))))))))</f>
        <v>4</v>
      </c>
      <c r="H47" s="23" t="s">
        <v>180</v>
      </c>
    </row>
    <row r="48" customFormat="false" ht="15" hidden="false" customHeight="true" outlineLevel="0" collapsed="false">
      <c r="A48" s="23" t="n">
        <v>44</v>
      </c>
      <c r="B48" s="31" t="n">
        <f aca="false">Parameters!$B$37*(Parameters!$B$38/24)</f>
        <v>1.66666666666667</v>
      </c>
      <c r="C48" s="31" t="n">
        <f aca="false">MIN(60-B48,Parameters!$B$30*60/24)</f>
        <v>20</v>
      </c>
      <c r="D48" s="30" t="n">
        <f aca="false">0.5*POWER(Parameters!$B$42,44)*Parameters!$B$40</f>
        <v>6428.48473105939</v>
      </c>
      <c r="E48" s="29" t="n">
        <f aca="false">D48*(B48*60 + C48*60*Parameters!$B$31)</f>
        <v>4499939.31174157</v>
      </c>
      <c r="F48" s="29" t="n">
        <f aca="false">F47+E48</f>
        <v>22498521.5587078</v>
      </c>
      <c r="G48" s="32" t="n">
        <f aca="false">IF(F48&gt;=Shop_Categories!$D$14,10,IF(F48&gt;=Shop_Categories!$D$13,9,IF(F48&gt;=Shop_Categories!$D$12,8,IF(F48&gt;=Shop_Categories!$D$11,7,IF(F48&gt;=Shop_Categories!$D$10,6,IF(F48&gt;=Shop_Categories!$D$9,5,IF(F48&gt;=Shop_Categories!$D$8,4,IF(F48&gt;=Shop_Categories!$D$7,3,IF(F48&gt;=Shop_Categories!$D$6,2,1)))))))))</f>
        <v>4</v>
      </c>
      <c r="H48" s="23" t="s">
        <v>180</v>
      </c>
    </row>
    <row r="49" customFormat="false" ht="15" hidden="false" customHeight="true" outlineLevel="0" collapsed="false">
      <c r="A49" s="23" t="n">
        <v>45</v>
      </c>
      <c r="B49" s="31" t="n">
        <f aca="false">Parameters!$B$37*(Parameters!$B$38/24)</f>
        <v>1.66666666666667</v>
      </c>
      <c r="C49" s="31" t="n">
        <f aca="false">MIN(60-B49,Parameters!$B$30*60/24)</f>
        <v>20</v>
      </c>
      <c r="D49" s="30" t="n">
        <f aca="false">0.5*POWER(Parameters!$B$42,45)*Parameters!$B$40</f>
        <v>8035.60591382423</v>
      </c>
      <c r="E49" s="29" t="n">
        <f aca="false">D49*(B49*60 + C49*60*Parameters!$B$31)</f>
        <v>5624924.13967696</v>
      </c>
      <c r="F49" s="29" t="n">
        <f aca="false">F48+E49</f>
        <v>28123445.6983848</v>
      </c>
      <c r="G49" s="32" t="n">
        <f aca="false">IF(F49&gt;=Shop_Categories!$D$14,10,IF(F49&gt;=Shop_Categories!$D$13,9,IF(F49&gt;=Shop_Categories!$D$12,8,IF(F49&gt;=Shop_Categories!$D$11,7,IF(F49&gt;=Shop_Categories!$D$10,6,IF(F49&gt;=Shop_Categories!$D$9,5,IF(F49&gt;=Shop_Categories!$D$8,4,IF(F49&gt;=Shop_Categories!$D$7,3,IF(F49&gt;=Shop_Categories!$D$6,2,1)))))))))</f>
        <v>4</v>
      </c>
      <c r="H49" s="23" t="s">
        <v>180</v>
      </c>
    </row>
    <row r="50" customFormat="false" ht="15" hidden="false" customHeight="true" outlineLevel="0" collapsed="false">
      <c r="A50" s="23" t="n">
        <v>46</v>
      </c>
      <c r="B50" s="31" t="n">
        <f aca="false">Parameters!$B$37*(Parameters!$B$38/24)</f>
        <v>1.66666666666667</v>
      </c>
      <c r="C50" s="31" t="n">
        <f aca="false">MIN(60-B50,Parameters!$B$30*60/24)</f>
        <v>20</v>
      </c>
      <c r="D50" s="30" t="n">
        <f aca="false">0.5*POWER(Parameters!$B$42,46)*Parameters!$B$40</f>
        <v>10044.5073922803</v>
      </c>
      <c r="E50" s="29" t="n">
        <f aca="false">D50*(B50*60 + C50*60*Parameters!$B$31)</f>
        <v>7031155.1745962</v>
      </c>
      <c r="F50" s="29" t="n">
        <f aca="false">F49+E50</f>
        <v>35154600.872981</v>
      </c>
      <c r="G50" s="32" t="n">
        <f aca="false">IF(F50&gt;=Shop_Categories!$D$14,10,IF(F50&gt;=Shop_Categories!$D$13,9,IF(F50&gt;=Shop_Categories!$D$12,8,IF(F50&gt;=Shop_Categories!$D$11,7,IF(F50&gt;=Shop_Categories!$D$10,6,IF(F50&gt;=Shop_Categories!$D$9,5,IF(F50&gt;=Shop_Categories!$D$8,4,IF(F50&gt;=Shop_Categories!$D$7,3,IF(F50&gt;=Shop_Categories!$D$6,2,1)))))))))</f>
        <v>4</v>
      </c>
      <c r="H50" s="23" t="s">
        <v>180</v>
      </c>
    </row>
    <row r="51" customFormat="false" ht="15" hidden="false" customHeight="true" outlineLevel="0" collapsed="false">
      <c r="A51" s="23" t="n">
        <v>47</v>
      </c>
      <c r="B51" s="31" t="n">
        <f aca="false">Parameters!$B$37*(Parameters!$B$38/24)</f>
        <v>1.66666666666667</v>
      </c>
      <c r="C51" s="31" t="n">
        <f aca="false">MIN(60-B51,Parameters!$B$30*60/24)</f>
        <v>20</v>
      </c>
      <c r="D51" s="30" t="n">
        <f aca="false">0.5*POWER(Parameters!$B$42,47)*Parameters!$B$40</f>
        <v>12555.6342403504</v>
      </c>
      <c r="E51" s="29" t="n">
        <f aca="false">D51*(B51*60 + C51*60*Parameters!$B$31)</f>
        <v>8788943.96824525</v>
      </c>
      <c r="F51" s="29" t="n">
        <f aca="false">F50+E51</f>
        <v>43943544.8412263</v>
      </c>
      <c r="G51" s="32" t="n">
        <f aca="false">IF(F51&gt;=Shop_Categories!$D$14,10,IF(F51&gt;=Shop_Categories!$D$13,9,IF(F51&gt;=Shop_Categories!$D$12,8,IF(F51&gt;=Shop_Categories!$D$11,7,IF(F51&gt;=Shop_Categories!$D$10,6,IF(F51&gt;=Shop_Categories!$D$9,5,IF(F51&gt;=Shop_Categories!$D$8,4,IF(F51&gt;=Shop_Categories!$D$7,3,IF(F51&gt;=Shop_Categories!$D$6,2,1)))))))))</f>
        <v>4</v>
      </c>
      <c r="H51" s="23" t="s">
        <v>180</v>
      </c>
    </row>
    <row r="52" customFormat="false" ht="15" hidden="false" customHeight="true" outlineLevel="0" collapsed="false">
      <c r="A52" s="23" t="n">
        <v>48</v>
      </c>
      <c r="B52" s="31" t="n">
        <f aca="false">Parameters!$B$37*(Parameters!$B$38/24)</f>
        <v>1.66666666666667</v>
      </c>
      <c r="C52" s="31" t="n">
        <f aca="false">MIN(60-B52,Parameters!$B$30*60/24)</f>
        <v>20</v>
      </c>
      <c r="D52" s="30" t="n">
        <f aca="false">0.5*POWER(Parameters!$B$42,48)*Parameters!$B$40</f>
        <v>15694.542800438</v>
      </c>
      <c r="E52" s="29" t="n">
        <f aca="false">D52*(B52*60 + C52*60*Parameters!$B$31)</f>
        <v>10986179.9603066</v>
      </c>
      <c r="F52" s="29" t="n">
        <f aca="false">F51+E52</f>
        <v>54929724.8015328</v>
      </c>
      <c r="G52" s="32" t="n">
        <f aca="false">IF(F52&gt;=Shop_Categories!$D$14,10,IF(F52&gt;=Shop_Categories!$D$13,9,IF(F52&gt;=Shop_Categories!$D$12,8,IF(F52&gt;=Shop_Categories!$D$11,7,IF(F52&gt;=Shop_Categories!$D$10,6,IF(F52&gt;=Shop_Categories!$D$9,5,IF(F52&gt;=Shop_Categories!$D$8,4,IF(F52&gt;=Shop_Categories!$D$7,3,IF(F52&gt;=Shop_Categories!$D$6,2,1)))))))))</f>
        <v>5</v>
      </c>
      <c r="H52" s="23" t="s">
        <v>180</v>
      </c>
    </row>
    <row r="53" customFormat="false" ht="15" hidden="false" customHeight="true" outlineLevel="0" collapsed="false">
      <c r="A53" s="23" t="n">
        <v>49</v>
      </c>
      <c r="B53" s="31" t="n">
        <f aca="false">Parameters!$B$37*(Parameters!$B$38/24)</f>
        <v>1.66666666666667</v>
      </c>
      <c r="C53" s="31" t="n">
        <f aca="false">MIN(60-B53,Parameters!$B$30*60/24)</f>
        <v>20</v>
      </c>
      <c r="D53" s="30" t="n">
        <f aca="false">0.5*POWER(Parameters!$B$42,49)*Parameters!$B$40</f>
        <v>19618.1785005474</v>
      </c>
      <c r="E53" s="29" t="n">
        <f aca="false">D53*(B53*60 + C53*60*Parameters!$B$31)</f>
        <v>13732724.9503832</v>
      </c>
      <c r="F53" s="29" t="n">
        <f aca="false">F52+E53</f>
        <v>68662449.751916</v>
      </c>
      <c r="G53" s="32" t="n">
        <f aca="false">IF(F53&gt;=Shop_Categories!$D$14,10,IF(F53&gt;=Shop_Categories!$D$13,9,IF(F53&gt;=Shop_Categories!$D$12,8,IF(F53&gt;=Shop_Categories!$D$11,7,IF(F53&gt;=Shop_Categories!$D$10,6,IF(F53&gt;=Shop_Categories!$D$9,5,IF(F53&gt;=Shop_Categories!$D$8,4,IF(F53&gt;=Shop_Categories!$D$7,3,IF(F53&gt;=Shop_Categories!$D$6,2,1)))))))))</f>
        <v>5</v>
      </c>
      <c r="H53" s="23" t="s">
        <v>180</v>
      </c>
    </row>
    <row r="54" customFormat="false" ht="15" hidden="false" customHeight="true" outlineLevel="0" collapsed="false">
      <c r="A54" s="23" t="n">
        <v>50</v>
      </c>
      <c r="B54" s="31" t="n">
        <f aca="false">Parameters!$B$37*(Parameters!$B$38/24)</f>
        <v>1.66666666666667</v>
      </c>
      <c r="C54" s="31" t="n">
        <f aca="false">MIN(60-B54,Parameters!$B$30*60/24)</f>
        <v>20</v>
      </c>
      <c r="D54" s="30" t="n">
        <f aca="false">0.5*POWER(Parameters!$B$42,50)*Parameters!$B$40</f>
        <v>24522.7231256843</v>
      </c>
      <c r="E54" s="29" t="n">
        <f aca="false">D54*(B54*60 + C54*60*Parameters!$B$31)</f>
        <v>17165906.187979</v>
      </c>
      <c r="F54" s="29" t="n">
        <f aca="false">F53+E54</f>
        <v>85828355.9398951</v>
      </c>
      <c r="G54" s="32" t="n">
        <f aca="false">IF(F54&gt;=Shop_Categories!$D$14,10,IF(F54&gt;=Shop_Categories!$D$13,9,IF(F54&gt;=Shop_Categories!$D$12,8,IF(F54&gt;=Shop_Categories!$D$11,7,IF(F54&gt;=Shop_Categories!$D$10,6,IF(F54&gt;=Shop_Categories!$D$9,5,IF(F54&gt;=Shop_Categories!$D$8,4,IF(F54&gt;=Shop_Categories!$D$7,3,IF(F54&gt;=Shop_Categories!$D$6,2,1)))))))))</f>
        <v>5</v>
      </c>
      <c r="H54" s="23" t="s">
        <v>180</v>
      </c>
    </row>
    <row r="55" customFormat="false" ht="15" hidden="false" customHeight="true" outlineLevel="0" collapsed="false">
      <c r="A55" s="23" t="n">
        <v>51</v>
      </c>
      <c r="B55" s="31" t="n">
        <f aca="false">Parameters!$B$37*(Parameters!$B$38/24)</f>
        <v>1.66666666666667</v>
      </c>
      <c r="C55" s="31" t="n">
        <f aca="false">MIN(60-B55,Parameters!$B$30*60/24)</f>
        <v>20</v>
      </c>
      <c r="D55" s="30" t="n">
        <f aca="false">0.5*POWER(Parameters!$B$42,51)*Parameters!$B$40</f>
        <v>30653.4039071054</v>
      </c>
      <c r="E55" s="29" t="n">
        <f aca="false">D55*(B55*60 + C55*60*Parameters!$B$31)</f>
        <v>21457382.7349738</v>
      </c>
      <c r="F55" s="29" t="n">
        <f aca="false">F54+E55</f>
        <v>107285738.674869</v>
      </c>
      <c r="G55" s="32" t="n">
        <f aca="false">IF(F55&gt;=Shop_Categories!$D$14,10,IF(F55&gt;=Shop_Categories!$D$13,9,IF(F55&gt;=Shop_Categories!$D$12,8,IF(F55&gt;=Shop_Categories!$D$11,7,IF(F55&gt;=Shop_Categories!$D$10,6,IF(F55&gt;=Shop_Categories!$D$9,5,IF(F55&gt;=Shop_Categories!$D$8,4,IF(F55&gt;=Shop_Categories!$D$7,3,IF(F55&gt;=Shop_Categories!$D$6,2,1)))))))))</f>
        <v>5</v>
      </c>
      <c r="H55" s="23" t="s">
        <v>180</v>
      </c>
    </row>
    <row r="56" customFormat="false" ht="15" hidden="false" customHeight="true" outlineLevel="0" collapsed="false">
      <c r="A56" s="23" t="n">
        <v>52</v>
      </c>
      <c r="B56" s="31" t="n">
        <f aca="false">Parameters!$B$37*(Parameters!$B$38/24)</f>
        <v>1.66666666666667</v>
      </c>
      <c r="C56" s="31" t="n">
        <f aca="false">MIN(60-B56,Parameters!$B$30*60/24)</f>
        <v>20</v>
      </c>
      <c r="D56" s="30" t="n">
        <f aca="false">0.5*POWER(Parameters!$B$42,52)*Parameters!$B$40</f>
        <v>38316.7548838817</v>
      </c>
      <c r="E56" s="29" t="n">
        <f aca="false">D56*(B56*60 + C56*60*Parameters!$B$31)</f>
        <v>26821728.4187172</v>
      </c>
      <c r="F56" s="29" t="n">
        <f aca="false">F55+E56</f>
        <v>134107467.093586</v>
      </c>
      <c r="G56" s="32" t="n">
        <f aca="false">IF(F56&gt;=Shop_Categories!$D$14,10,IF(F56&gt;=Shop_Categories!$D$13,9,IF(F56&gt;=Shop_Categories!$D$12,8,IF(F56&gt;=Shop_Categories!$D$11,7,IF(F56&gt;=Shop_Categories!$D$10,6,IF(F56&gt;=Shop_Categories!$D$9,5,IF(F56&gt;=Shop_Categories!$D$8,4,IF(F56&gt;=Shop_Categories!$D$7,3,IF(F56&gt;=Shop_Categories!$D$6,2,1)))))))))</f>
        <v>5</v>
      </c>
      <c r="H56" s="23" t="s">
        <v>180</v>
      </c>
    </row>
    <row r="57" customFormat="false" ht="15" hidden="false" customHeight="true" outlineLevel="0" collapsed="false">
      <c r="A57" s="23" t="n">
        <v>53</v>
      </c>
      <c r="B57" s="31" t="n">
        <f aca="false">Parameters!$B$37*(Parameters!$B$38/24)</f>
        <v>1.66666666666667</v>
      </c>
      <c r="C57" s="31" t="n">
        <f aca="false">MIN(60-B57,Parameters!$B$30*60/24)</f>
        <v>20</v>
      </c>
      <c r="D57" s="30" t="n">
        <f aca="false">0.5*POWER(Parameters!$B$42,53)*Parameters!$B$40</f>
        <v>47895.9436048521</v>
      </c>
      <c r="E57" s="29" t="n">
        <f aca="false">D57*(B57*60 + C57*60*Parameters!$B$31)</f>
        <v>33527160.5233965</v>
      </c>
      <c r="F57" s="29" t="n">
        <f aca="false">F56+E57</f>
        <v>167634627.616983</v>
      </c>
      <c r="G57" s="32" t="n">
        <f aca="false">IF(F57&gt;=Shop_Categories!$D$14,10,IF(F57&gt;=Shop_Categories!$D$13,9,IF(F57&gt;=Shop_Categories!$D$12,8,IF(F57&gt;=Shop_Categories!$D$11,7,IF(F57&gt;=Shop_Categories!$D$10,6,IF(F57&gt;=Shop_Categories!$D$9,5,IF(F57&gt;=Shop_Categories!$D$8,4,IF(F57&gt;=Shop_Categories!$D$7,3,IF(F57&gt;=Shop_Categories!$D$6,2,1)))))))))</f>
        <v>5</v>
      </c>
      <c r="H57" s="23" t="s">
        <v>180</v>
      </c>
    </row>
    <row r="58" customFormat="false" ht="15" hidden="false" customHeight="true" outlineLevel="0" collapsed="false">
      <c r="A58" s="23" t="n">
        <v>54</v>
      </c>
      <c r="B58" s="31" t="n">
        <f aca="false">Parameters!$B$37*(Parameters!$B$38/24)</f>
        <v>1.66666666666667</v>
      </c>
      <c r="C58" s="31" t="n">
        <f aca="false">MIN(60-B58,Parameters!$B$30*60/24)</f>
        <v>20</v>
      </c>
      <c r="D58" s="30" t="n">
        <f aca="false">0.5*POWER(Parameters!$B$42,54)*Parameters!$B$40</f>
        <v>59869.9295060652</v>
      </c>
      <c r="E58" s="29" t="n">
        <f aca="false">D58*(B58*60 + C58*60*Parameters!$B$31)</f>
        <v>41908950.6542456</v>
      </c>
      <c r="F58" s="29" t="n">
        <f aca="false">F57+E58</f>
        <v>209543578.271228</v>
      </c>
      <c r="G58" s="32" t="n">
        <f aca="false">IF(F58&gt;=Shop_Categories!$D$14,10,IF(F58&gt;=Shop_Categories!$D$13,9,IF(F58&gt;=Shop_Categories!$D$12,8,IF(F58&gt;=Shop_Categories!$D$11,7,IF(F58&gt;=Shop_Categories!$D$10,6,IF(F58&gt;=Shop_Categories!$D$9,5,IF(F58&gt;=Shop_Categories!$D$8,4,IF(F58&gt;=Shop_Categories!$D$7,3,IF(F58&gt;=Shop_Categories!$D$6,2,1)))))))))</f>
        <v>5</v>
      </c>
      <c r="H58" s="23" t="s">
        <v>180</v>
      </c>
    </row>
    <row r="59" customFormat="false" ht="15" hidden="false" customHeight="true" outlineLevel="0" collapsed="false">
      <c r="A59" s="23" t="n">
        <v>55</v>
      </c>
      <c r="B59" s="31" t="n">
        <f aca="false">Parameters!$B$37*(Parameters!$B$38/24)</f>
        <v>1.66666666666667</v>
      </c>
      <c r="C59" s="31" t="n">
        <f aca="false">MIN(60-B59,Parameters!$B$30*60/24)</f>
        <v>20</v>
      </c>
      <c r="D59" s="30" t="n">
        <f aca="false">0.5*POWER(Parameters!$B$42,55)*Parameters!$B$40</f>
        <v>74837.4118825815</v>
      </c>
      <c r="E59" s="29" t="n">
        <f aca="false">D59*(B59*60 + C59*60*Parameters!$B$31)</f>
        <v>52386188.317807</v>
      </c>
      <c r="F59" s="29" t="n">
        <f aca="false">F58+E59</f>
        <v>261929766.589035</v>
      </c>
      <c r="G59" s="32" t="n">
        <f aca="false">IF(F59&gt;=Shop_Categories!$D$14,10,IF(F59&gt;=Shop_Categories!$D$13,9,IF(F59&gt;=Shop_Categories!$D$12,8,IF(F59&gt;=Shop_Categories!$D$11,7,IF(F59&gt;=Shop_Categories!$D$10,6,IF(F59&gt;=Shop_Categories!$D$9,5,IF(F59&gt;=Shop_Categories!$D$8,4,IF(F59&gt;=Shop_Categories!$D$7,3,IF(F59&gt;=Shop_Categories!$D$6,2,1)))))))))</f>
        <v>5</v>
      </c>
      <c r="H59" s="23" t="s">
        <v>180</v>
      </c>
    </row>
    <row r="60" customFormat="false" ht="15" hidden="false" customHeight="true" outlineLevel="0" collapsed="false">
      <c r="A60" s="23" t="n">
        <v>56</v>
      </c>
      <c r="B60" s="31" t="n">
        <f aca="false">Parameters!$B$37*(Parameters!$B$38/24)</f>
        <v>1.66666666666667</v>
      </c>
      <c r="C60" s="31" t="n">
        <f aca="false">MIN(60-B60,Parameters!$B$30*60/24)</f>
        <v>20</v>
      </c>
      <c r="D60" s="30" t="n">
        <f aca="false">0.5*POWER(Parameters!$B$42,56)*Parameters!$B$40</f>
        <v>93546.7648532269</v>
      </c>
      <c r="E60" s="29" t="n">
        <f aca="false">D60*(B60*60 + C60*60*Parameters!$B$31)</f>
        <v>65482735.3972588</v>
      </c>
      <c r="F60" s="29" t="n">
        <f aca="false">F59+E60</f>
        <v>327412501.986294</v>
      </c>
      <c r="G60" s="32" t="n">
        <f aca="false">IF(F60&gt;=Shop_Categories!$D$14,10,IF(F60&gt;=Shop_Categories!$D$13,9,IF(F60&gt;=Shop_Categories!$D$12,8,IF(F60&gt;=Shop_Categories!$D$11,7,IF(F60&gt;=Shop_Categories!$D$10,6,IF(F60&gt;=Shop_Categories!$D$9,5,IF(F60&gt;=Shop_Categories!$D$8,4,IF(F60&gt;=Shop_Categories!$D$7,3,IF(F60&gt;=Shop_Categories!$D$6,2,1)))))))))</f>
        <v>5</v>
      </c>
      <c r="H60" s="23" t="s">
        <v>181</v>
      </c>
    </row>
    <row r="61" customFormat="false" ht="15" hidden="false" customHeight="true" outlineLevel="0" collapsed="false">
      <c r="A61" s="23" t="n">
        <v>57</v>
      </c>
      <c r="B61" s="31" t="n">
        <f aca="false">Parameters!$B$37*(Parameters!$B$38/24)</f>
        <v>1.66666666666667</v>
      </c>
      <c r="C61" s="31" t="n">
        <f aca="false">MIN(60-B61,Parameters!$B$30*60/24)</f>
        <v>20</v>
      </c>
      <c r="D61" s="30" t="n">
        <f aca="false">0.5*POWER(Parameters!$B$42,57)*Parameters!$B$40</f>
        <v>116933.456066534</v>
      </c>
      <c r="E61" s="29" t="n">
        <f aca="false">D61*(B61*60 + C61*60*Parameters!$B$31)</f>
        <v>81853419.2465735</v>
      </c>
      <c r="F61" s="29" t="n">
        <f aca="false">F60+E61</f>
        <v>409265921.232868</v>
      </c>
      <c r="G61" s="32" t="n">
        <f aca="false">IF(F61&gt;=Shop_Categories!$D$14,10,IF(F61&gt;=Shop_Categories!$D$13,9,IF(F61&gt;=Shop_Categories!$D$12,8,IF(F61&gt;=Shop_Categories!$D$11,7,IF(F61&gt;=Shop_Categories!$D$10,6,IF(F61&gt;=Shop_Categories!$D$9,5,IF(F61&gt;=Shop_Categories!$D$8,4,IF(F61&gt;=Shop_Categories!$D$7,3,IF(F61&gt;=Shop_Categories!$D$6,2,1)))))))))</f>
        <v>5</v>
      </c>
      <c r="H61" s="23" t="s">
        <v>181</v>
      </c>
    </row>
    <row r="62" customFormat="false" ht="15" hidden="false" customHeight="true" outlineLevel="0" collapsed="false">
      <c r="A62" s="23" t="n">
        <v>58</v>
      </c>
      <c r="B62" s="31" t="n">
        <f aca="false">Parameters!$B$37*(Parameters!$B$38/24)</f>
        <v>1.66666666666667</v>
      </c>
      <c r="C62" s="31" t="n">
        <f aca="false">MIN(60-B62,Parameters!$B$30*60/24)</f>
        <v>20</v>
      </c>
      <c r="D62" s="30" t="n">
        <f aca="false">0.5*POWER(Parameters!$B$42,58)*Parameters!$B$40</f>
        <v>146166.820083167</v>
      </c>
      <c r="E62" s="29" t="n">
        <f aca="false">D62*(B62*60 + C62*60*Parameters!$B$31)</f>
        <v>102316774.058217</v>
      </c>
      <c r="F62" s="29" t="n">
        <f aca="false">F61+E62</f>
        <v>511582695.291084</v>
      </c>
      <c r="G62" s="32" t="n">
        <f aca="false">IF(F62&gt;=Shop_Categories!$D$14,10,IF(F62&gt;=Shop_Categories!$D$13,9,IF(F62&gt;=Shop_Categories!$D$12,8,IF(F62&gt;=Shop_Categories!$D$11,7,IF(F62&gt;=Shop_Categories!$D$10,6,IF(F62&gt;=Shop_Categories!$D$9,5,IF(F62&gt;=Shop_Categories!$D$8,4,IF(F62&gt;=Shop_Categories!$D$7,3,IF(F62&gt;=Shop_Categories!$D$6,2,1)))))))))</f>
        <v>5</v>
      </c>
      <c r="H62" s="23" t="s">
        <v>181</v>
      </c>
    </row>
    <row r="63" customFormat="false" ht="15" hidden="false" customHeight="true" outlineLevel="0" collapsed="false">
      <c r="A63" s="23" t="n">
        <v>59</v>
      </c>
      <c r="B63" s="31" t="n">
        <f aca="false">Parameters!$B$37*(Parameters!$B$38/24)</f>
        <v>1.66666666666667</v>
      </c>
      <c r="C63" s="31" t="n">
        <f aca="false">MIN(60-B63,Parameters!$B$30*60/24)</f>
        <v>20</v>
      </c>
      <c r="D63" s="30" t="n">
        <f aca="false">0.5*POWER(Parameters!$B$42,59)*Parameters!$B$40</f>
        <v>182708.525103959</v>
      </c>
      <c r="E63" s="29" t="n">
        <f aca="false">D63*(B63*60 + C63*60*Parameters!$B$31)</f>
        <v>127895967.572771</v>
      </c>
      <c r="F63" s="29" t="n">
        <f aca="false">F62+E63</f>
        <v>639478662.863855</v>
      </c>
      <c r="G63" s="32" t="n">
        <f aca="false">IF(F63&gt;=Shop_Categories!$D$14,10,IF(F63&gt;=Shop_Categories!$D$13,9,IF(F63&gt;=Shop_Categories!$D$12,8,IF(F63&gt;=Shop_Categories!$D$11,7,IF(F63&gt;=Shop_Categories!$D$10,6,IF(F63&gt;=Shop_Categories!$D$9,5,IF(F63&gt;=Shop_Categories!$D$8,4,IF(F63&gt;=Shop_Categories!$D$7,3,IF(F63&gt;=Shop_Categories!$D$6,2,1)))))))))</f>
        <v>5</v>
      </c>
      <c r="H63" s="23" t="s">
        <v>181</v>
      </c>
    </row>
    <row r="64" customFormat="false" ht="15" hidden="false" customHeight="true" outlineLevel="0" collapsed="false">
      <c r="A64" s="23" t="n">
        <v>60</v>
      </c>
      <c r="B64" s="31" t="n">
        <f aca="false">Parameters!$B$37*(Parameters!$B$38/24)</f>
        <v>1.66666666666667</v>
      </c>
      <c r="C64" s="31" t="n">
        <f aca="false">MIN(60-B64,Parameters!$B$30*60/24)</f>
        <v>20</v>
      </c>
      <c r="D64" s="30" t="n">
        <f aca="false">0.5*POWER(Parameters!$B$42,60)*Parameters!$B$40</f>
        <v>228385.656379948</v>
      </c>
      <c r="E64" s="29" t="n">
        <f aca="false">D64*(B64*60 + C64*60*Parameters!$B$31)</f>
        <v>159869959.465964</v>
      </c>
      <c r="F64" s="29" t="n">
        <f aca="false">F63+E64</f>
        <v>799348622.329819</v>
      </c>
      <c r="G64" s="32" t="n">
        <f aca="false">IF(F64&gt;=Shop_Categories!$D$14,10,IF(F64&gt;=Shop_Categories!$D$13,9,IF(F64&gt;=Shop_Categories!$D$12,8,IF(F64&gt;=Shop_Categories!$D$11,7,IF(F64&gt;=Shop_Categories!$D$10,6,IF(F64&gt;=Shop_Categories!$D$9,5,IF(F64&gt;=Shop_Categories!$D$8,4,IF(F64&gt;=Shop_Categories!$D$7,3,IF(F64&gt;=Shop_Categories!$D$6,2,1)))))))))</f>
        <v>5</v>
      </c>
      <c r="H64" s="23" t="s">
        <v>181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28"/>
  </cols>
  <sheetData>
    <row r="1" customFormat="false" ht="17.25" hidden="false" customHeight="true" outlineLevel="0" collapsed="false">
      <c r="A1" s="25" t="s">
        <v>182</v>
      </c>
      <c r="B1" s="25"/>
      <c r="C1" s="25"/>
      <c r="D1" s="25"/>
      <c r="E1" s="25"/>
      <c r="F1" s="25"/>
    </row>
    <row r="2" customFormat="false" ht="15" hidden="false" customHeight="true" outlineLevel="0" collapsed="false">
      <c r="A2" s="19" t="s">
        <v>183</v>
      </c>
      <c r="B2" s="19"/>
      <c r="C2" s="19"/>
      <c r="D2" s="19"/>
      <c r="E2" s="19"/>
      <c r="F2" s="19"/>
    </row>
    <row r="4" customFormat="false" ht="15" hidden="false" customHeight="true" outlineLevel="0" collapsed="false">
      <c r="A4" s="26" t="s">
        <v>184</v>
      </c>
      <c r="B4" s="26" t="s">
        <v>185</v>
      </c>
      <c r="C4" s="26" t="s">
        <v>186</v>
      </c>
      <c r="D4" s="26" t="s">
        <v>187</v>
      </c>
      <c r="E4" s="26" t="s">
        <v>188</v>
      </c>
      <c r="F4" s="26" t="s">
        <v>189</v>
      </c>
    </row>
    <row r="5" customFormat="false" ht="15" hidden="false" customHeight="true" outlineLevel="0" collapsed="false">
      <c r="A5" s="23" t="n">
        <v>1</v>
      </c>
      <c r="B5" s="29" t="n">
        <f aca="false">Parameters!$B$27</f>
        <v>1000000000</v>
      </c>
      <c r="C5" s="33" t="n">
        <f aca="false">FLOOR(POWER(B5/Parameters!$B$27,Parameters!$B$28),1)</f>
        <v>1</v>
      </c>
      <c r="D5" s="33" t="n">
        <f aca="false">C5</f>
        <v>1</v>
      </c>
      <c r="E5" s="34" t="n">
        <f aca="false">D5*Parameters!$B$29*100</f>
        <v>2</v>
      </c>
      <c r="F5" s="35" t="n">
        <v>60</v>
      </c>
    </row>
    <row r="6" customFormat="false" ht="15" hidden="false" customHeight="true" outlineLevel="0" collapsed="false">
      <c r="A6" s="23" t="n">
        <v>2</v>
      </c>
      <c r="B6" s="29" t="n">
        <f aca="false">B5*3</f>
        <v>3000000000</v>
      </c>
      <c r="C6" s="33" t="n">
        <f aca="false">FLOOR(POWER(B6/Parameters!$B$27,Parameters!$B$28),1)</f>
        <v>1</v>
      </c>
      <c r="D6" s="33" t="n">
        <f aca="false">D5+C6</f>
        <v>2</v>
      </c>
      <c r="E6" s="34" t="n">
        <f aca="false">D6*Parameters!$B$29*100</f>
        <v>4</v>
      </c>
      <c r="F6" s="35" t="n">
        <f aca="false">60/(1+D6*Parameters!$B$29*0.5)</f>
        <v>58.8235294117647</v>
      </c>
    </row>
    <row r="7" customFormat="false" ht="15" hidden="false" customHeight="true" outlineLevel="0" collapsed="false">
      <c r="A7" s="23" t="n">
        <v>3</v>
      </c>
      <c r="B7" s="29" t="n">
        <f aca="false">B6*3</f>
        <v>9000000000</v>
      </c>
      <c r="C7" s="33" t="n">
        <f aca="false">FLOOR(POWER(B7/Parameters!$B$27,Parameters!$B$28),1)</f>
        <v>3</v>
      </c>
      <c r="D7" s="33" t="n">
        <f aca="false">D6+C7</f>
        <v>5</v>
      </c>
      <c r="E7" s="34" t="n">
        <f aca="false">D7*Parameters!$B$29*100</f>
        <v>10</v>
      </c>
      <c r="F7" s="35" t="n">
        <f aca="false">60/(1+D7*Parameters!$B$29*0.5)</f>
        <v>57.1428571428571</v>
      </c>
    </row>
    <row r="8" customFormat="false" ht="15" hidden="false" customHeight="true" outlineLevel="0" collapsed="false">
      <c r="A8" s="23" t="n">
        <v>4</v>
      </c>
      <c r="B8" s="29" t="n">
        <f aca="false">B7*3</f>
        <v>27000000000</v>
      </c>
      <c r="C8" s="33" t="n">
        <f aca="false">FLOOR(POWER(B8/Parameters!$B$27,Parameters!$B$28),1)</f>
        <v>5</v>
      </c>
      <c r="D8" s="33" t="n">
        <f aca="false">D7+C8</f>
        <v>10</v>
      </c>
      <c r="E8" s="34" t="n">
        <f aca="false">D8*Parameters!$B$29*100</f>
        <v>20</v>
      </c>
      <c r="F8" s="35" t="n">
        <f aca="false">60/(1+D8*Parameters!$B$29*0.5)</f>
        <v>54.5454545454545</v>
      </c>
    </row>
    <row r="9" customFormat="false" ht="15" hidden="false" customHeight="true" outlineLevel="0" collapsed="false">
      <c r="A9" s="23" t="n">
        <v>5</v>
      </c>
      <c r="B9" s="29" t="n">
        <f aca="false">B8*3</f>
        <v>81000000000</v>
      </c>
      <c r="C9" s="33" t="n">
        <f aca="false">FLOOR(POWER(B9/Parameters!$B$27,Parameters!$B$28),1)</f>
        <v>9</v>
      </c>
      <c r="D9" s="33" t="n">
        <f aca="false">D8+C9</f>
        <v>19</v>
      </c>
      <c r="E9" s="34" t="n">
        <f aca="false">D9*Parameters!$B$29*100</f>
        <v>38</v>
      </c>
      <c r="F9" s="35" t="n">
        <f aca="false">60/(1+D9*Parameters!$B$29*0.5)</f>
        <v>50.4201680672269</v>
      </c>
    </row>
    <row r="10" customFormat="false" ht="15" hidden="false" customHeight="true" outlineLevel="0" collapsed="false">
      <c r="A10" s="23" t="n">
        <v>6</v>
      </c>
      <c r="B10" s="29" t="n">
        <f aca="false">B9*3</f>
        <v>243000000000</v>
      </c>
      <c r="C10" s="33" t="n">
        <f aca="false">FLOOR(POWER(B10/Parameters!$B$27,Parameters!$B$28),1)</f>
        <v>15</v>
      </c>
      <c r="D10" s="33" t="n">
        <f aca="false">D9+C10</f>
        <v>34</v>
      </c>
      <c r="E10" s="34" t="n">
        <f aca="false">D10*Parameters!$B$29*100</f>
        <v>68</v>
      </c>
      <c r="F10" s="35" t="n">
        <f aca="false">60/(1+D10*Parameters!$B$29*0.5)</f>
        <v>44.7761194029851</v>
      </c>
    </row>
    <row r="11" customFormat="false" ht="15" hidden="false" customHeight="true" outlineLevel="0" collapsed="false">
      <c r="A11" s="23" t="n">
        <v>7</v>
      </c>
      <c r="B11" s="29" t="n">
        <f aca="false">B10*3</f>
        <v>729000000000</v>
      </c>
      <c r="C11" s="33" t="n">
        <f aca="false">FLOOR(POWER(B11/Parameters!$B$27,Parameters!$B$28),1)</f>
        <v>27</v>
      </c>
      <c r="D11" s="33" t="n">
        <f aca="false">D10+C11</f>
        <v>61</v>
      </c>
      <c r="E11" s="34" t="n">
        <f aca="false">D11*Parameters!$B$29*100</f>
        <v>122</v>
      </c>
      <c r="F11" s="35" t="n">
        <f aca="false">60/(1+D11*Parameters!$B$29*0.5)</f>
        <v>37.2670807453416</v>
      </c>
    </row>
    <row r="12" customFormat="false" ht="15" hidden="false" customHeight="true" outlineLevel="0" collapsed="false">
      <c r="A12" s="23" t="n">
        <v>8</v>
      </c>
      <c r="B12" s="29" t="n">
        <f aca="false">B11*3</f>
        <v>2187000000000</v>
      </c>
      <c r="C12" s="33" t="n">
        <f aca="false">FLOOR(POWER(B12/Parameters!$B$27,Parameters!$B$28),1)</f>
        <v>46</v>
      </c>
      <c r="D12" s="33" t="n">
        <f aca="false">D11+C12</f>
        <v>107</v>
      </c>
      <c r="E12" s="34" t="n">
        <f aca="false">D12*Parameters!$B$29*100</f>
        <v>214</v>
      </c>
      <c r="F12" s="35" t="n">
        <f aca="false">60/(1+D12*Parameters!$B$29*0.5)</f>
        <v>28.9855072463768</v>
      </c>
    </row>
    <row r="13" customFormat="false" ht="15" hidden="false" customHeight="true" outlineLevel="0" collapsed="false">
      <c r="A13" s="23" t="n">
        <v>9</v>
      </c>
      <c r="B13" s="29" t="n">
        <f aca="false">B12*3</f>
        <v>6561000000000</v>
      </c>
      <c r="C13" s="33" t="n">
        <f aca="false">FLOOR(POWER(B13/Parameters!$B$27,Parameters!$B$28),1)</f>
        <v>81</v>
      </c>
      <c r="D13" s="33" t="n">
        <f aca="false">D12+C13</f>
        <v>188</v>
      </c>
      <c r="E13" s="34" t="n">
        <f aca="false">D13*Parameters!$B$29*100</f>
        <v>376</v>
      </c>
      <c r="F13" s="35" t="n">
        <f aca="false">60/(1+D13*Parameters!$B$29*0.5)</f>
        <v>20.8333333333333</v>
      </c>
    </row>
    <row r="14" customFormat="false" ht="15" hidden="false" customHeight="true" outlineLevel="0" collapsed="false">
      <c r="A14" s="23" t="n">
        <v>10</v>
      </c>
      <c r="B14" s="29" t="n">
        <f aca="false">B13*3</f>
        <v>19683000000000</v>
      </c>
      <c r="C14" s="33" t="n">
        <f aca="false">FLOOR(POWER(B14/Parameters!$B$27,Parameters!$B$28),1)</f>
        <v>140</v>
      </c>
      <c r="D14" s="33" t="n">
        <f aca="false">D13+C14</f>
        <v>328</v>
      </c>
      <c r="E14" s="34" t="n">
        <f aca="false">D14*Parameters!$B$29*100</f>
        <v>656</v>
      </c>
      <c r="F14" s="35" t="n">
        <f aca="false">60/(1+D14*Parameters!$B$29*0.5)</f>
        <v>14.018691588785</v>
      </c>
    </row>
    <row r="15" customFormat="false" ht="15" hidden="false" customHeight="true" outlineLevel="0" collapsed="false">
      <c r="A15" s="23" t="n">
        <v>11</v>
      </c>
      <c r="B15" s="29" t="n">
        <f aca="false">B14*3</f>
        <v>59049000000000</v>
      </c>
      <c r="C15" s="33" t="n">
        <f aca="false">FLOOR(POWER(B15/Parameters!$B$27,Parameters!$B$28),1)</f>
        <v>243</v>
      </c>
      <c r="D15" s="33" t="n">
        <f aca="false">D14+C15</f>
        <v>571</v>
      </c>
      <c r="E15" s="34" t="n">
        <f aca="false">D15*Parameters!$B$29*100</f>
        <v>1142</v>
      </c>
      <c r="F15" s="35" t="n">
        <f aca="false">60/(1+D15*Parameters!$B$29*0.5)</f>
        <v>8.94187779433681</v>
      </c>
    </row>
    <row r="16" customFormat="false" ht="15" hidden="false" customHeight="true" outlineLevel="0" collapsed="false">
      <c r="A16" s="23" t="n">
        <v>12</v>
      </c>
      <c r="B16" s="29" t="n">
        <f aca="false">B15*3</f>
        <v>177147000000000</v>
      </c>
      <c r="C16" s="33" t="n">
        <f aca="false">FLOOR(POWER(B16/Parameters!$B$27,Parameters!$B$28),1)</f>
        <v>420</v>
      </c>
      <c r="D16" s="33" t="n">
        <f aca="false">D15+C16</f>
        <v>991</v>
      </c>
      <c r="E16" s="34" t="n">
        <f aca="false">D16*Parameters!$B$29*100</f>
        <v>1982</v>
      </c>
      <c r="F16" s="35" t="n">
        <f aca="false">60/(1+D16*Parameters!$B$29*0.5)</f>
        <v>5.49954170485793</v>
      </c>
    </row>
    <row r="17" customFormat="false" ht="15" hidden="false" customHeight="true" outlineLevel="0" collapsed="false">
      <c r="A17" s="23" t="n">
        <v>13</v>
      </c>
      <c r="B17" s="29" t="n">
        <f aca="false">B16*3</f>
        <v>531441000000000</v>
      </c>
      <c r="C17" s="33" t="n">
        <f aca="false">FLOOR(POWER(B17/Parameters!$B$27,Parameters!$B$28),1)</f>
        <v>729</v>
      </c>
      <c r="D17" s="33" t="n">
        <f aca="false">D16+C17</f>
        <v>1720</v>
      </c>
      <c r="E17" s="34" t="n">
        <f aca="false">D17*Parameters!$B$29*100</f>
        <v>3440</v>
      </c>
      <c r="F17" s="35" t="n">
        <f aca="false">60/(1+D17*Parameters!$B$29*0.5)</f>
        <v>3.2967032967033</v>
      </c>
    </row>
    <row r="18" customFormat="false" ht="15" hidden="false" customHeight="true" outlineLevel="0" collapsed="false">
      <c r="A18" s="23" t="n">
        <v>14</v>
      </c>
      <c r="B18" s="29" t="n">
        <f aca="false">B17*3</f>
        <v>1594323000000000</v>
      </c>
      <c r="C18" s="33" t="n">
        <f aca="false">FLOOR(POWER(B18/Parameters!$B$27,Parameters!$B$28),1)</f>
        <v>1262</v>
      </c>
      <c r="D18" s="33" t="n">
        <f aca="false">D17+C18</f>
        <v>2982</v>
      </c>
      <c r="E18" s="34" t="n">
        <f aca="false">D18*Parameters!$B$29*100</f>
        <v>5964</v>
      </c>
      <c r="F18" s="35" t="n">
        <f aca="false">60/(1+D18*Parameters!$B$29*0.5)</f>
        <v>1.94678780012979</v>
      </c>
    </row>
    <row r="19" customFormat="false" ht="15" hidden="false" customHeight="true" outlineLevel="0" collapsed="false">
      <c r="A19" s="23" t="n">
        <v>15</v>
      </c>
      <c r="B19" s="29" t="n">
        <f aca="false">B18*3</f>
        <v>4782969000000000</v>
      </c>
      <c r="C19" s="33" t="n">
        <f aca="false">FLOOR(POWER(B19/Parameters!$B$27,Parameters!$B$28),1)</f>
        <v>2187</v>
      </c>
      <c r="D19" s="33" t="n">
        <f aca="false">D18+C19</f>
        <v>5169</v>
      </c>
      <c r="E19" s="34" t="n">
        <f aca="false">D19*Parameters!$B$29*100</f>
        <v>10338</v>
      </c>
      <c r="F19" s="35" t="n">
        <f aca="false">60/(1+D19*Parameters!$B$29*0.5)</f>
        <v>1.13873600303663</v>
      </c>
    </row>
    <row r="20" customFormat="false" ht="15" hidden="false" customHeight="true" outlineLevel="0" collapsed="false">
      <c r="A20" s="23" t="n">
        <v>16</v>
      </c>
      <c r="B20" s="29" t="n">
        <f aca="false">B19*3</f>
        <v>14348907000000000</v>
      </c>
      <c r="C20" s="33" t="n">
        <f aca="false">FLOOR(POWER(B20/Parameters!$B$27,Parameters!$B$28),1)</f>
        <v>3787</v>
      </c>
      <c r="D20" s="33" t="n">
        <f aca="false">D19+C20</f>
        <v>8956</v>
      </c>
      <c r="E20" s="34" t="n">
        <f aca="false">D20*Parameters!$B$29*100</f>
        <v>17912</v>
      </c>
      <c r="F20" s="35" t="n">
        <f aca="false">60/(1+D20*Parameters!$B$29*0.5)</f>
        <v>0.662544169611307</v>
      </c>
    </row>
    <row r="21" customFormat="false" ht="15" hidden="false" customHeight="true" outlineLevel="0" collapsed="false">
      <c r="A21" s="23" t="n">
        <v>17</v>
      </c>
      <c r="B21" s="29" t="n">
        <f aca="false">B20*3</f>
        <v>43046721000000000</v>
      </c>
      <c r="C21" s="33" t="n">
        <f aca="false">FLOOR(POWER(B21/Parameters!$B$27,Parameters!$B$28),1)</f>
        <v>6561</v>
      </c>
      <c r="D21" s="33" t="n">
        <f aca="false">D20+C21</f>
        <v>15517</v>
      </c>
      <c r="E21" s="34" t="n">
        <f aca="false">D21*Parameters!$B$29*100</f>
        <v>31034</v>
      </c>
      <c r="F21" s="35" t="n">
        <f aca="false">60/(1+D21*Parameters!$B$29*0.5)</f>
        <v>0.384196708714862</v>
      </c>
    </row>
    <row r="22" customFormat="false" ht="15" hidden="false" customHeight="true" outlineLevel="0" collapsed="false">
      <c r="A22" s="23" t="n">
        <v>18</v>
      </c>
      <c r="B22" s="29" t="n">
        <f aca="false">B21*3</f>
        <v>1.29140163E+017</v>
      </c>
      <c r="C22" s="33" t="n">
        <f aca="false">FLOOR(POWER(B22/Parameters!$B$27,Parameters!$B$28),1)</f>
        <v>11363</v>
      </c>
      <c r="D22" s="33" t="n">
        <f aca="false">D21+C22</f>
        <v>26880</v>
      </c>
      <c r="E22" s="34" t="n">
        <f aca="false">D22*Parameters!$B$29*100</f>
        <v>53760</v>
      </c>
      <c r="F22" s="35" t="n">
        <f aca="false">60/(1+D22*Parameters!$B$29*0.5)</f>
        <v>0.22238695329874</v>
      </c>
    </row>
    <row r="23" customFormat="false" ht="15" hidden="false" customHeight="true" outlineLevel="0" collapsed="false">
      <c r="A23" s="23" t="n">
        <v>19</v>
      </c>
      <c r="B23" s="29" t="n">
        <f aca="false">B22*3</f>
        <v>3.87420489E+017</v>
      </c>
      <c r="C23" s="33" t="n">
        <f aca="false">FLOOR(POWER(B23/Parameters!$B$27,Parameters!$B$28),1)</f>
        <v>19683</v>
      </c>
      <c r="D23" s="33" t="n">
        <f aca="false">D22+C23</f>
        <v>46563</v>
      </c>
      <c r="E23" s="34" t="n">
        <f aca="false">D23*Parameters!$B$29*100</f>
        <v>93126</v>
      </c>
      <c r="F23" s="35" t="n">
        <f aca="false">60/(1+D23*Parameters!$B$29*0.5)</f>
        <v>0.128581531406039</v>
      </c>
    </row>
    <row r="24" customFormat="false" ht="15" hidden="false" customHeight="true" outlineLevel="0" collapsed="false">
      <c r="A24" s="23" t="n">
        <v>20</v>
      </c>
      <c r="B24" s="29" t="n">
        <f aca="false">B23*3</f>
        <v>1.162261467E+018</v>
      </c>
      <c r="C24" s="33" t="n">
        <f aca="false">FLOOR(POWER(B24/Parameters!$B$27,Parameters!$B$28),1)</f>
        <v>34091</v>
      </c>
      <c r="D24" s="33" t="n">
        <f aca="false">D23+C24</f>
        <v>80654</v>
      </c>
      <c r="E24" s="34" t="n">
        <f aca="false">D24*Parameters!$B$29*100</f>
        <v>161308</v>
      </c>
      <c r="F24" s="35" t="n">
        <f aca="false">60/(1+D24*Parameters!$B$29*0.5)</f>
        <v>0.0742997250910172</v>
      </c>
    </row>
    <row r="27" customFormat="false" ht="15" hidden="false" customHeight="true" outlineLevel="0" collapsed="false">
      <c r="A27" s="20" t="s">
        <v>190</v>
      </c>
      <c r="B27" s="20"/>
      <c r="C27" s="20"/>
      <c r="D27" s="20"/>
    </row>
    <row r="28" customFormat="false" ht="15" hidden="false" customHeight="true" outlineLevel="0" collapsed="false">
      <c r="A28" s="11" t="s">
        <v>191</v>
      </c>
      <c r="B28" s="36" t="n">
        <f aca="false">D24</f>
        <v>80654</v>
      </c>
    </row>
    <row r="29" customFormat="false" ht="15" hidden="false" customHeight="true" outlineLevel="0" collapsed="false">
      <c r="A29" s="11" t="s">
        <v>192</v>
      </c>
      <c r="B29" s="36" t="n">
        <f aca="false">E24</f>
        <v>161308</v>
      </c>
    </row>
    <row r="30" customFormat="false" ht="15" hidden="false" customHeight="true" outlineLevel="0" collapsed="false">
      <c r="A30" s="11" t="s">
        <v>193</v>
      </c>
      <c r="B30" s="36" t="n">
        <f aca="false">SUM(F5:F24)</f>
        <v>449.108397171312</v>
      </c>
    </row>
    <row r="31" customFormat="false" ht="15" hidden="false" customHeight="true" outlineLevel="0" collapsed="false">
      <c r="A31" s="11" t="s">
        <v>194</v>
      </c>
      <c r="B31" s="36" t="n">
        <f aca="false">AVERAGE(F5:F24)</f>
        <v>22.4554198585656</v>
      </c>
    </row>
  </sheetData>
  <mergeCells count="3">
    <mergeCell ref="A1:F1"/>
    <mergeCell ref="A2:F2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2026-04-30T22:27:24Z</dcterms:created>
  <dc:creator>openpyxl</dc:creator>
  <dc:description/>
  <dc:language>en-US</dc:language>
  <cp:lastModifiedBy/>
  <dcterms:modified xsi:type="dcterms:W3CDTF">2026-04-30T22:29:51Z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